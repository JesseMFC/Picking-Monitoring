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eskogroup-my.sharepoint.com/personal/jesse_agren_citymarket_fi/Documents/Keräysraportointi/"/>
    </mc:Choice>
  </mc:AlternateContent>
  <xr:revisionPtr revIDLastSave="7125" documentId="8_{68DC5F6F-4407-45CB-BBE5-0E236C82B876}" xr6:coauthVersionLast="47" xr6:coauthVersionMax="47" xr10:uidLastSave="{6F4780B8-73A1-4C0C-95DD-2705B4BB6C39}"/>
  <bookViews>
    <workbookView xWindow="-28920" yWindow="-120" windowWidth="29040" windowHeight="15720" firstSheet="1" xr2:uid="{00000000-000D-0000-FFFF-FFFF00000000}"/>
  </bookViews>
  <sheets>
    <sheet name="ILTA" sheetId="10" r:id="rId1"/>
    <sheet name="AAMU" sheetId="8" r:id="rId2"/>
    <sheet name="Alkuperäinen" sheetId="5" state="hidden" r:id="rId3"/>
    <sheet name="Vanhempi versio" sheetId="6" state="hidden" r:id="rId4"/>
    <sheet name="BACKUP" sheetId="11" state="hidden" r:id="rId5"/>
    <sheet name="EN" sheetId="12" state="hidden" r:id="rId6"/>
    <sheet name="Keräysteho kplh" sheetId="2" r:id="rId7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8" l="1"/>
  <c r="L38" i="8"/>
  <c r="L39" i="8" s="1"/>
  <c r="G37" i="8"/>
  <c r="G38" i="8" s="1"/>
  <c r="B37" i="8"/>
  <c r="B38" i="8" s="1"/>
  <c r="I36" i="8"/>
  <c r="D36" i="8"/>
  <c r="L34" i="8"/>
  <c r="G31" i="8"/>
  <c r="G32" i="8" s="1"/>
  <c r="B31" i="8"/>
  <c r="B32" i="8" s="1"/>
  <c r="Q28" i="8"/>
  <c r="I27" i="8"/>
  <c r="R38" i="8" s="1"/>
  <c r="D27" i="8"/>
  <c r="S26" i="8"/>
  <c r="L25" i="8"/>
  <c r="L24" i="8"/>
  <c r="K24" i="8"/>
  <c r="M24" i="8" s="1"/>
  <c r="I24" i="8"/>
  <c r="D24" i="8"/>
  <c r="L23" i="8"/>
  <c r="K23" i="8"/>
  <c r="M23" i="8" s="1"/>
  <c r="F23" i="8"/>
  <c r="H23" i="8" s="1"/>
  <c r="I23" i="8" s="1"/>
  <c r="A23" i="8"/>
  <c r="C23" i="8" s="1"/>
  <c r="D23" i="8" s="1"/>
  <c r="L22" i="8"/>
  <c r="K22" i="8"/>
  <c r="M22" i="8" s="1"/>
  <c r="F22" i="8"/>
  <c r="H22" i="8" s="1"/>
  <c r="I22" i="8" s="1"/>
  <c r="A22" i="8"/>
  <c r="C22" i="8" s="1"/>
  <c r="D22" i="8" s="1"/>
  <c r="S21" i="8"/>
  <c r="L21" i="8"/>
  <c r="K21" i="8"/>
  <c r="M21" i="8" s="1"/>
  <c r="F21" i="8"/>
  <c r="H21" i="8" s="1"/>
  <c r="I21" i="8" s="1"/>
  <c r="A21" i="8"/>
  <c r="C21" i="8" s="1"/>
  <c r="D21" i="8" s="1"/>
  <c r="L20" i="8"/>
  <c r="K20" i="8"/>
  <c r="M20" i="8" s="1"/>
  <c r="F20" i="8"/>
  <c r="H20" i="8" s="1"/>
  <c r="I20" i="8" s="1"/>
  <c r="A20" i="8"/>
  <c r="C20" i="8" s="1"/>
  <c r="D20" i="8" s="1"/>
  <c r="F19" i="8"/>
  <c r="H19" i="8" s="1"/>
  <c r="I19" i="8" s="1"/>
  <c r="A19" i="8"/>
  <c r="C19" i="8" s="1"/>
  <c r="D19" i="8" s="1"/>
  <c r="Q18" i="8"/>
  <c r="G17" i="8"/>
  <c r="B17" i="8"/>
  <c r="G16" i="8"/>
  <c r="B16" i="8"/>
  <c r="N13" i="8"/>
  <c r="I13" i="8"/>
  <c r="D13" i="8"/>
  <c r="N10" i="8"/>
  <c r="N33" i="8" s="1"/>
  <c r="I10" i="8"/>
  <c r="I30" i="8" s="1"/>
  <c r="D10" i="8"/>
  <c r="D30" i="8" s="1"/>
  <c r="K9" i="8"/>
  <c r="M9" i="8" s="1"/>
  <c r="N9" i="8" s="1"/>
  <c r="F9" i="8"/>
  <c r="H9" i="8" s="1"/>
  <c r="I9" i="8" s="1"/>
  <c r="A9" i="8"/>
  <c r="C9" i="8" s="1"/>
  <c r="D9" i="8" s="1"/>
  <c r="K8" i="8"/>
  <c r="M8" i="8" s="1"/>
  <c r="N8" i="8" s="1"/>
  <c r="F8" i="8"/>
  <c r="H8" i="8" s="1"/>
  <c r="I8" i="8" s="1"/>
  <c r="A8" i="8"/>
  <c r="C8" i="8" s="1"/>
  <c r="D8" i="8" s="1"/>
  <c r="K7" i="8"/>
  <c r="M7" i="8" s="1"/>
  <c r="N7" i="8" s="1"/>
  <c r="F7" i="8"/>
  <c r="H7" i="8" s="1"/>
  <c r="I7" i="8" s="1"/>
  <c r="A7" i="8"/>
  <c r="C7" i="8" s="1"/>
  <c r="D7" i="8" s="1"/>
  <c r="S6" i="8"/>
  <c r="N37" i="8" s="1"/>
  <c r="K6" i="8"/>
  <c r="M6" i="8" s="1"/>
  <c r="N6" i="8" s="1"/>
  <c r="F6" i="8"/>
  <c r="H6" i="8" s="1"/>
  <c r="I6" i="8" s="1"/>
  <c r="A6" i="8"/>
  <c r="C6" i="8" s="1"/>
  <c r="D6" i="8" s="1"/>
  <c r="K5" i="8"/>
  <c r="M5" i="8" s="1"/>
  <c r="N5" i="8" s="1"/>
  <c r="F5" i="8"/>
  <c r="H5" i="8" s="1"/>
  <c r="I5" i="8" s="1"/>
  <c r="G10" i="8" s="1"/>
  <c r="A5" i="8"/>
  <c r="C5" i="8" s="1"/>
  <c r="D5" i="8" s="1"/>
  <c r="B10" i="8" s="1"/>
  <c r="Q3" i="8"/>
  <c r="L3" i="8"/>
  <c r="G3" i="8"/>
  <c r="B3" i="8"/>
  <c r="Q2" i="8"/>
  <c r="L2" i="8"/>
  <c r="G2" i="8"/>
  <c r="B2" i="8"/>
  <c r="A9" i="10"/>
  <c r="P38" i="10"/>
  <c r="L38" i="10"/>
  <c r="L39" i="10" s="1"/>
  <c r="G37" i="10"/>
  <c r="G38" i="10" s="1"/>
  <c r="B37" i="10"/>
  <c r="B38" i="10" s="1"/>
  <c r="I36" i="10"/>
  <c r="D36" i="10"/>
  <c r="L34" i="10"/>
  <c r="G31" i="10"/>
  <c r="G32" i="10" s="1"/>
  <c r="B31" i="10"/>
  <c r="B32" i="10" s="1"/>
  <c r="Q28" i="10"/>
  <c r="S27" i="10"/>
  <c r="I27" i="10"/>
  <c r="R38" i="10" s="1"/>
  <c r="D27" i="10"/>
  <c r="S26" i="10"/>
  <c r="S25" i="10"/>
  <c r="L25" i="10"/>
  <c r="L24" i="10"/>
  <c r="K24" i="10"/>
  <c r="M24" i="10" s="1"/>
  <c r="I24" i="10"/>
  <c r="D24" i="10"/>
  <c r="S23" i="10"/>
  <c r="L23" i="10"/>
  <c r="K23" i="10"/>
  <c r="M23" i="10" s="1"/>
  <c r="F23" i="10"/>
  <c r="H23" i="10" s="1"/>
  <c r="I23" i="10" s="1"/>
  <c r="A23" i="10"/>
  <c r="C23" i="10" s="1"/>
  <c r="D23" i="10" s="1"/>
  <c r="S22" i="10"/>
  <c r="L22" i="10"/>
  <c r="K22" i="10"/>
  <c r="M22" i="10" s="1"/>
  <c r="F22" i="10"/>
  <c r="H22" i="10" s="1"/>
  <c r="I22" i="10" s="1"/>
  <c r="A22" i="10"/>
  <c r="C22" i="10" s="1"/>
  <c r="D22" i="10" s="1"/>
  <c r="S21" i="10"/>
  <c r="L21" i="10"/>
  <c r="K21" i="10"/>
  <c r="M21" i="10" s="1"/>
  <c r="F21" i="10"/>
  <c r="H21" i="10" s="1"/>
  <c r="I21" i="10" s="1"/>
  <c r="A21" i="10"/>
  <c r="C21" i="10" s="1"/>
  <c r="D21" i="10" s="1"/>
  <c r="L20" i="10"/>
  <c r="K20" i="10"/>
  <c r="M20" i="10" s="1"/>
  <c r="F20" i="10"/>
  <c r="H20" i="10" s="1"/>
  <c r="I20" i="10" s="1"/>
  <c r="A20" i="10"/>
  <c r="C20" i="10" s="1"/>
  <c r="D20" i="10" s="1"/>
  <c r="F19" i="10"/>
  <c r="H19" i="10" s="1"/>
  <c r="I19" i="10" s="1"/>
  <c r="A19" i="10"/>
  <c r="C19" i="10" s="1"/>
  <c r="D19" i="10" s="1"/>
  <c r="Q18" i="10"/>
  <c r="G17" i="10"/>
  <c r="B17" i="10"/>
  <c r="G16" i="10"/>
  <c r="B16" i="10"/>
  <c r="N13" i="10"/>
  <c r="I13" i="10"/>
  <c r="D13" i="10"/>
  <c r="N10" i="10"/>
  <c r="N33" i="10" s="1"/>
  <c r="I10" i="10"/>
  <c r="I30" i="10" s="1"/>
  <c r="D10" i="10"/>
  <c r="D30" i="10" s="1"/>
  <c r="K9" i="10"/>
  <c r="M9" i="10" s="1"/>
  <c r="N9" i="10" s="1"/>
  <c r="F9" i="10"/>
  <c r="H9" i="10" s="1"/>
  <c r="I9" i="10" s="1"/>
  <c r="C9" i="10"/>
  <c r="D9" i="10" s="1"/>
  <c r="K8" i="10"/>
  <c r="M8" i="10" s="1"/>
  <c r="N8" i="10" s="1"/>
  <c r="F8" i="10"/>
  <c r="H8" i="10" s="1"/>
  <c r="I8" i="10" s="1"/>
  <c r="A8" i="10"/>
  <c r="C8" i="10" s="1"/>
  <c r="D8" i="10" s="1"/>
  <c r="K7" i="10"/>
  <c r="M7" i="10" s="1"/>
  <c r="N7" i="10" s="1"/>
  <c r="F7" i="10"/>
  <c r="H7" i="10" s="1"/>
  <c r="I7" i="10" s="1"/>
  <c r="A7" i="10"/>
  <c r="C7" i="10" s="1"/>
  <c r="D7" i="10" s="1"/>
  <c r="S6" i="10"/>
  <c r="N37" i="10" s="1"/>
  <c r="K6" i="10"/>
  <c r="M6" i="10" s="1"/>
  <c r="N6" i="10" s="1"/>
  <c r="F6" i="10"/>
  <c r="H6" i="10" s="1"/>
  <c r="I6" i="10" s="1"/>
  <c r="A6" i="10"/>
  <c r="C6" i="10" s="1"/>
  <c r="D6" i="10" s="1"/>
  <c r="K5" i="10"/>
  <c r="M5" i="10" s="1"/>
  <c r="N5" i="10" s="1"/>
  <c r="F5" i="10"/>
  <c r="H5" i="10" s="1"/>
  <c r="I5" i="10" s="1"/>
  <c r="G10" i="10" s="1"/>
  <c r="A5" i="10"/>
  <c r="C5" i="10" s="1"/>
  <c r="D5" i="10" s="1"/>
  <c r="B10" i="10" s="1"/>
  <c r="Q3" i="10"/>
  <c r="L3" i="10"/>
  <c r="G3" i="10"/>
  <c r="B3" i="10"/>
  <c r="Q2" i="10"/>
  <c r="L2" i="10"/>
  <c r="G2" i="10"/>
  <c r="B2" i="10"/>
  <c r="P38" i="12"/>
  <c r="L38" i="12"/>
  <c r="L39" i="12" s="1"/>
  <c r="S27" i="12" s="1"/>
  <c r="G37" i="12"/>
  <c r="G38" i="12" s="1"/>
  <c r="B37" i="12"/>
  <c r="B38" i="12" s="1"/>
  <c r="S25" i="12" s="1"/>
  <c r="I36" i="12"/>
  <c r="D36" i="12"/>
  <c r="L34" i="12"/>
  <c r="G31" i="12"/>
  <c r="G32" i="12" s="1"/>
  <c r="S23" i="12" s="1"/>
  <c r="B31" i="12"/>
  <c r="B32" i="12" s="1"/>
  <c r="S22" i="12" s="1"/>
  <c r="I27" i="12"/>
  <c r="R38" i="12" s="1"/>
  <c r="D27" i="12"/>
  <c r="S26" i="12"/>
  <c r="L25" i="12"/>
  <c r="L24" i="12"/>
  <c r="K24" i="12"/>
  <c r="I24" i="12"/>
  <c r="D24" i="12"/>
  <c r="L23" i="12"/>
  <c r="K23" i="12"/>
  <c r="F23" i="12"/>
  <c r="A23" i="12"/>
  <c r="L22" i="12"/>
  <c r="K22" i="12"/>
  <c r="F22" i="12"/>
  <c r="A22" i="12"/>
  <c r="S21" i="12"/>
  <c r="L21" i="12"/>
  <c r="K21" i="12"/>
  <c r="F21" i="12"/>
  <c r="A21" i="12"/>
  <c r="L20" i="12"/>
  <c r="K20" i="12"/>
  <c r="F20" i="12"/>
  <c r="A20" i="12"/>
  <c r="F19" i="12"/>
  <c r="A19" i="12"/>
  <c r="Q18" i="12"/>
  <c r="G17" i="12"/>
  <c r="B17" i="12"/>
  <c r="G16" i="12"/>
  <c r="B16" i="12"/>
  <c r="N13" i="12"/>
  <c r="I13" i="12"/>
  <c r="D13" i="12"/>
  <c r="N10" i="12"/>
  <c r="N33" i="12" s="1"/>
  <c r="I10" i="12"/>
  <c r="I30" i="12" s="1"/>
  <c r="D10" i="12"/>
  <c r="D30" i="12" s="1"/>
  <c r="K9" i="12"/>
  <c r="F9" i="12"/>
  <c r="A9" i="12"/>
  <c r="K8" i="12"/>
  <c r="F8" i="12"/>
  <c r="A8" i="12"/>
  <c r="K7" i="12"/>
  <c r="F7" i="12"/>
  <c r="A7" i="12"/>
  <c r="S6" i="12"/>
  <c r="N37" i="12" s="1"/>
  <c r="K6" i="12"/>
  <c r="M6" i="12" s="1"/>
  <c r="N6" i="12" s="1"/>
  <c r="F6" i="12"/>
  <c r="A6" i="12"/>
  <c r="C6" i="12" s="1"/>
  <c r="D6" i="12" s="1"/>
  <c r="K5" i="12"/>
  <c r="F5" i="12"/>
  <c r="A5" i="12"/>
  <c r="Q3" i="12"/>
  <c r="L3" i="12"/>
  <c r="G3" i="12"/>
  <c r="B3" i="12"/>
  <c r="Q2" i="12"/>
  <c r="L2" i="12"/>
  <c r="G2" i="12"/>
  <c r="B2" i="12"/>
  <c r="P38" i="11"/>
  <c r="L38" i="11"/>
  <c r="L39" i="11" s="1"/>
  <c r="S27" i="11" s="1"/>
  <c r="G37" i="11"/>
  <c r="G38" i="11" s="1"/>
  <c r="B37" i="11"/>
  <c r="B38" i="11" s="1"/>
  <c r="S25" i="11" s="1"/>
  <c r="I36" i="11"/>
  <c r="D36" i="11"/>
  <c r="L34" i="11"/>
  <c r="G31" i="11"/>
  <c r="G32" i="11" s="1"/>
  <c r="S23" i="11" s="1"/>
  <c r="B31" i="11"/>
  <c r="B32" i="11" s="1"/>
  <c r="S22" i="11" s="1"/>
  <c r="I27" i="11"/>
  <c r="R38" i="11" s="1"/>
  <c r="D27" i="11"/>
  <c r="S26" i="11"/>
  <c r="L25" i="11"/>
  <c r="L24" i="11"/>
  <c r="K24" i="11"/>
  <c r="I24" i="11"/>
  <c r="D24" i="11"/>
  <c r="L23" i="11"/>
  <c r="K23" i="11"/>
  <c r="F23" i="11"/>
  <c r="A23" i="11"/>
  <c r="L22" i="11"/>
  <c r="K22" i="11"/>
  <c r="F22" i="11"/>
  <c r="A22" i="11"/>
  <c r="S21" i="11"/>
  <c r="L21" i="11"/>
  <c r="K21" i="11"/>
  <c r="F21" i="11"/>
  <c r="A21" i="11"/>
  <c r="L20" i="11"/>
  <c r="K20" i="11"/>
  <c r="F20" i="11"/>
  <c r="A20" i="11"/>
  <c r="F19" i="11"/>
  <c r="A19" i="11"/>
  <c r="Q18" i="11"/>
  <c r="G17" i="11"/>
  <c r="B17" i="11"/>
  <c r="G16" i="11"/>
  <c r="B16" i="11"/>
  <c r="N13" i="11"/>
  <c r="I13" i="11"/>
  <c r="D13" i="11"/>
  <c r="N10" i="11"/>
  <c r="N33" i="11" s="1"/>
  <c r="I10" i="11"/>
  <c r="I30" i="11" s="1"/>
  <c r="D10" i="11"/>
  <c r="D30" i="11" s="1"/>
  <c r="K9" i="11"/>
  <c r="F9" i="11"/>
  <c r="A9" i="11"/>
  <c r="K8" i="11"/>
  <c r="F8" i="11"/>
  <c r="A8" i="11"/>
  <c r="K7" i="11"/>
  <c r="F7" i="11"/>
  <c r="A7" i="11"/>
  <c r="S6" i="11"/>
  <c r="N37" i="11" s="1"/>
  <c r="K6" i="11"/>
  <c r="F6" i="11"/>
  <c r="A6" i="11"/>
  <c r="C6" i="11" s="1"/>
  <c r="D6" i="11" s="1"/>
  <c r="K5" i="11"/>
  <c r="F5" i="11"/>
  <c r="A5" i="11"/>
  <c r="Q3" i="11"/>
  <c r="L3" i="11"/>
  <c r="G3" i="11"/>
  <c r="B3" i="11"/>
  <c r="Q2" i="11"/>
  <c r="L2" i="11"/>
  <c r="G2" i="11"/>
  <c r="B2" i="11"/>
  <c r="Q47" i="6"/>
  <c r="L45" i="6"/>
  <c r="L46" i="6" s="1"/>
  <c r="S28" i="6" s="1"/>
  <c r="G45" i="6"/>
  <c r="G46" i="6" s="1"/>
  <c r="S27" i="6" s="1"/>
  <c r="B45" i="6"/>
  <c r="B46" i="6" s="1"/>
  <c r="S26" i="6" s="1"/>
  <c r="I44" i="6"/>
  <c r="D44" i="6"/>
  <c r="L39" i="6"/>
  <c r="G39" i="6"/>
  <c r="G40" i="6" s="1"/>
  <c r="S24" i="6" s="1"/>
  <c r="B39" i="6"/>
  <c r="B40" i="6" s="1"/>
  <c r="S23" i="6" s="1"/>
  <c r="I30" i="6"/>
  <c r="D30" i="6"/>
  <c r="L29" i="6"/>
  <c r="G28" i="6"/>
  <c r="B28" i="6"/>
  <c r="L27" i="6"/>
  <c r="K27" i="6"/>
  <c r="L26" i="6"/>
  <c r="K26" i="6"/>
  <c r="F26" i="6"/>
  <c r="A26" i="6"/>
  <c r="L25" i="6"/>
  <c r="K25" i="6"/>
  <c r="F25" i="6"/>
  <c r="A25" i="6"/>
  <c r="L24" i="6"/>
  <c r="K24" i="6"/>
  <c r="F24" i="6"/>
  <c r="A24" i="6"/>
  <c r="F23" i="6"/>
  <c r="A23" i="6"/>
  <c r="S22" i="6"/>
  <c r="G20" i="6"/>
  <c r="B20" i="6"/>
  <c r="Q19" i="6"/>
  <c r="G19" i="6"/>
  <c r="B19" i="6"/>
  <c r="N13" i="6"/>
  <c r="N38" i="6" s="1"/>
  <c r="I13" i="6"/>
  <c r="I38" i="6" s="1"/>
  <c r="D13" i="6"/>
  <c r="D38" i="6" s="1"/>
  <c r="L11" i="6"/>
  <c r="G11" i="6"/>
  <c r="B11" i="6"/>
  <c r="K9" i="6"/>
  <c r="F9" i="6"/>
  <c r="A9" i="6"/>
  <c r="K8" i="6"/>
  <c r="F8" i="6"/>
  <c r="A8" i="6"/>
  <c r="S7" i="6"/>
  <c r="K7" i="6"/>
  <c r="F7" i="6"/>
  <c r="A7" i="6"/>
  <c r="K6" i="6"/>
  <c r="F6" i="6"/>
  <c r="A6" i="6"/>
  <c r="Q3" i="6"/>
  <c r="L3" i="6"/>
  <c r="G3" i="6"/>
  <c r="B3" i="6"/>
  <c r="Q2" i="6"/>
  <c r="L2" i="6"/>
  <c r="G2" i="6"/>
  <c r="B2" i="6"/>
  <c r="Q47" i="5"/>
  <c r="L45" i="5"/>
  <c r="L46" i="5" s="1"/>
  <c r="S34" i="5" s="1"/>
  <c r="G45" i="5"/>
  <c r="G46" i="5" s="1"/>
  <c r="S33" i="5" s="1"/>
  <c r="B45" i="5"/>
  <c r="B46" i="5" s="1"/>
  <c r="S32" i="5" s="1"/>
  <c r="I44" i="5"/>
  <c r="D44" i="5"/>
  <c r="L39" i="5"/>
  <c r="G39" i="5"/>
  <c r="G40" i="5" s="1"/>
  <c r="S30" i="5" s="1"/>
  <c r="B39" i="5"/>
  <c r="B40" i="5" s="1"/>
  <c r="S29" i="5" s="1"/>
  <c r="I30" i="5"/>
  <c r="D30" i="5"/>
  <c r="S28" i="5"/>
  <c r="L28" i="5"/>
  <c r="G28" i="5"/>
  <c r="B28" i="5"/>
  <c r="L26" i="5"/>
  <c r="K26" i="5"/>
  <c r="F26" i="5"/>
  <c r="A26" i="5"/>
  <c r="Q25" i="5"/>
  <c r="L25" i="5"/>
  <c r="K25" i="5"/>
  <c r="F25" i="5"/>
  <c r="A25" i="5"/>
  <c r="L24" i="5"/>
  <c r="K24" i="5"/>
  <c r="F24" i="5"/>
  <c r="A24" i="5"/>
  <c r="L23" i="5"/>
  <c r="K23" i="5"/>
  <c r="F23" i="5"/>
  <c r="A23" i="5"/>
  <c r="G20" i="5"/>
  <c r="B20" i="5"/>
  <c r="G19" i="5"/>
  <c r="B19" i="5"/>
  <c r="S13" i="5"/>
  <c r="N44" i="5" s="1"/>
  <c r="N13" i="5"/>
  <c r="N38" i="5" s="1"/>
  <c r="I13" i="5"/>
  <c r="I38" i="5" s="1"/>
  <c r="D13" i="5"/>
  <c r="D38" i="5" s="1"/>
  <c r="Q11" i="5"/>
  <c r="L11" i="5"/>
  <c r="G11" i="5"/>
  <c r="B11" i="5"/>
  <c r="P9" i="5"/>
  <c r="K9" i="5"/>
  <c r="F9" i="5"/>
  <c r="A9" i="5"/>
  <c r="P8" i="5"/>
  <c r="K8" i="5"/>
  <c r="F8" i="5"/>
  <c r="A8" i="5"/>
  <c r="P7" i="5"/>
  <c r="K7" i="5"/>
  <c r="F7" i="5"/>
  <c r="A7" i="5"/>
  <c r="P6" i="5"/>
  <c r="K6" i="5"/>
  <c r="F6" i="5"/>
  <c r="A6" i="5"/>
  <c r="Q3" i="5"/>
  <c r="L3" i="5"/>
  <c r="G3" i="5"/>
  <c r="B3" i="5"/>
  <c r="Q2" i="5"/>
  <c r="L2" i="5"/>
  <c r="G2" i="5"/>
  <c r="B2" i="5"/>
  <c r="N34" i="8" l="1"/>
  <c r="S34" i="8" s="1"/>
  <c r="G39" i="8"/>
  <c r="S36" i="8"/>
  <c r="N39" i="8"/>
  <c r="S27" i="8"/>
  <c r="B39" i="8"/>
  <c r="S25" i="8"/>
  <c r="S35" i="8" s="1"/>
  <c r="G33" i="8"/>
  <c r="S23" i="8"/>
  <c r="S33" i="8" s="1"/>
  <c r="B33" i="8"/>
  <c r="S22" i="8"/>
  <c r="S32" i="8" s="1"/>
  <c r="N24" i="8"/>
  <c r="L26" i="8"/>
  <c r="G26" i="8"/>
  <c r="G27" i="8" s="1"/>
  <c r="S16" i="8" s="1"/>
  <c r="G25" i="8"/>
  <c r="G36" i="8"/>
  <c r="B26" i="8"/>
  <c r="B25" i="8"/>
  <c r="B36" i="8"/>
  <c r="L37" i="8"/>
  <c r="Q8" i="8"/>
  <c r="Q9" i="8" s="1"/>
  <c r="S17" i="8" s="1"/>
  <c r="P5" i="8" s="1"/>
  <c r="R5" i="8" s="1"/>
  <c r="S5" i="8" s="1"/>
  <c r="Q6" i="8" s="1"/>
  <c r="Q7" i="8"/>
  <c r="L33" i="8"/>
  <c r="L11" i="8"/>
  <c r="L12" i="8"/>
  <c r="L13" i="8" s="1"/>
  <c r="S14" i="8" s="1"/>
  <c r="G30" i="8"/>
  <c r="G11" i="8"/>
  <c r="G12" i="8"/>
  <c r="G13" i="8" s="1"/>
  <c r="S13" i="8" s="1"/>
  <c r="N18" i="8"/>
  <c r="N17" i="8"/>
  <c r="B12" i="8"/>
  <c r="B13" i="8" s="1"/>
  <c r="S12" i="8" s="1"/>
  <c r="B30" i="8"/>
  <c r="B11" i="8"/>
  <c r="N23" i="8"/>
  <c r="G24" i="8"/>
  <c r="B24" i="8"/>
  <c r="N22" i="8"/>
  <c r="N21" i="8"/>
  <c r="N20" i="8"/>
  <c r="L10" i="8"/>
  <c r="B30" i="10"/>
  <c r="N18" i="10"/>
  <c r="N17" i="10"/>
  <c r="B12" i="10"/>
  <c r="B13" i="10" s="1"/>
  <c r="S12" i="10" s="1"/>
  <c r="B11" i="10"/>
  <c r="G30" i="10"/>
  <c r="G12" i="10"/>
  <c r="G13" i="10" s="1"/>
  <c r="S13" i="10" s="1"/>
  <c r="G11" i="10"/>
  <c r="L33" i="10"/>
  <c r="L12" i="10"/>
  <c r="L13" i="10" s="1"/>
  <c r="S14" i="10" s="1"/>
  <c r="L11" i="10"/>
  <c r="L37" i="10"/>
  <c r="Q8" i="10"/>
  <c r="Q9" i="10" s="1"/>
  <c r="S17" i="10" s="1"/>
  <c r="P5" i="10" s="1"/>
  <c r="R5" i="10" s="1"/>
  <c r="S5" i="10" s="1"/>
  <c r="Q6" i="10" s="1"/>
  <c r="Q7" i="10"/>
  <c r="L10" i="10"/>
  <c r="B36" i="10"/>
  <c r="B26" i="10"/>
  <c r="B25" i="10"/>
  <c r="G36" i="10"/>
  <c r="G26" i="10"/>
  <c r="G27" i="10" s="1"/>
  <c r="S16" i="10" s="1"/>
  <c r="G25" i="10"/>
  <c r="N20" i="10"/>
  <c r="N21" i="10"/>
  <c r="N22" i="10"/>
  <c r="S32" i="10"/>
  <c r="B24" i="10"/>
  <c r="G24" i="10"/>
  <c r="N23" i="10"/>
  <c r="S33" i="10"/>
  <c r="L26" i="10"/>
  <c r="L18" i="10" s="1"/>
  <c r="N24" i="10"/>
  <c r="S35" i="10"/>
  <c r="S36" i="10"/>
  <c r="S37" i="10"/>
  <c r="S28" i="10"/>
  <c r="S29" i="10" s="1"/>
  <c r="Q29" i="10"/>
  <c r="B33" i="10"/>
  <c r="G33" i="10"/>
  <c r="N34" i="10"/>
  <c r="S34" i="10" s="1"/>
  <c r="B39" i="10"/>
  <c r="G39" i="10"/>
  <c r="N39" i="10"/>
  <c r="M6" i="11"/>
  <c r="N6" i="11" s="1"/>
  <c r="H6" i="11"/>
  <c r="I6" i="11" s="1"/>
  <c r="H6" i="12"/>
  <c r="I6" i="12" s="1"/>
  <c r="H22" i="12"/>
  <c r="I22" i="12" s="1"/>
  <c r="H21" i="11"/>
  <c r="I21" i="11" s="1"/>
  <c r="M21" i="12"/>
  <c r="N21" i="12" s="1"/>
  <c r="M21" i="11"/>
  <c r="N21" i="11" s="1"/>
  <c r="H23" i="11"/>
  <c r="I23" i="11" s="1"/>
  <c r="M23" i="12"/>
  <c r="N23" i="12" s="1"/>
  <c r="M8" i="11"/>
  <c r="N8" i="11" s="1"/>
  <c r="H19" i="11"/>
  <c r="I19" i="11" s="1"/>
  <c r="H20" i="11"/>
  <c r="I20" i="11" s="1"/>
  <c r="H22" i="11"/>
  <c r="I22" i="11" s="1"/>
  <c r="C5" i="12"/>
  <c r="D5" i="12" s="1"/>
  <c r="H7" i="12"/>
  <c r="I7" i="12" s="1"/>
  <c r="M22" i="12"/>
  <c r="N22" i="12" s="1"/>
  <c r="M24" i="12"/>
  <c r="N24" i="12" s="1"/>
  <c r="H8" i="11"/>
  <c r="I8" i="11" s="1"/>
  <c r="C19" i="11"/>
  <c r="D19" i="11" s="1"/>
  <c r="H8" i="12"/>
  <c r="I8" i="12" s="1"/>
  <c r="H9" i="12"/>
  <c r="I9" i="12" s="1"/>
  <c r="C7" i="12"/>
  <c r="D7" i="12" s="1"/>
  <c r="M9" i="12"/>
  <c r="N9" i="12" s="1"/>
  <c r="M20" i="12"/>
  <c r="N20" i="12" s="1"/>
  <c r="H5" i="12"/>
  <c r="I5" i="12" s="1"/>
  <c r="M7" i="12"/>
  <c r="N7" i="12" s="1"/>
  <c r="C23" i="11"/>
  <c r="D23" i="11" s="1"/>
  <c r="M9" i="11"/>
  <c r="N9" i="11" s="1"/>
  <c r="C5" i="11"/>
  <c r="D5" i="11" s="1"/>
  <c r="H7" i="11"/>
  <c r="I7" i="11" s="1"/>
  <c r="M22" i="11"/>
  <c r="N22" i="11" s="1"/>
  <c r="M8" i="12"/>
  <c r="N8" i="12" s="1"/>
  <c r="H19" i="12"/>
  <c r="I19" i="12" s="1"/>
  <c r="H23" i="12"/>
  <c r="I23" i="12" s="1"/>
  <c r="C23" i="12"/>
  <c r="D23" i="12" s="1"/>
  <c r="H5" i="11"/>
  <c r="I5" i="11" s="1"/>
  <c r="M7" i="11"/>
  <c r="N7" i="11" s="1"/>
  <c r="C21" i="11"/>
  <c r="D21" i="11" s="1"/>
  <c r="C9" i="12"/>
  <c r="D9" i="12" s="1"/>
  <c r="C20" i="12"/>
  <c r="D20" i="12" s="1"/>
  <c r="C7" i="11"/>
  <c r="D7" i="11" s="1"/>
  <c r="M20" i="11"/>
  <c r="N20" i="11" s="1"/>
  <c r="C19" i="12"/>
  <c r="D19" i="12" s="1"/>
  <c r="M5" i="11"/>
  <c r="N5" i="11" s="1"/>
  <c r="C8" i="11"/>
  <c r="D8" i="11" s="1"/>
  <c r="M24" i="11"/>
  <c r="N24" i="11" s="1"/>
  <c r="Q28" i="11"/>
  <c r="H20" i="12"/>
  <c r="I20" i="12" s="1"/>
  <c r="C22" i="12"/>
  <c r="D22" i="12" s="1"/>
  <c r="C9" i="11"/>
  <c r="D9" i="11" s="1"/>
  <c r="C20" i="11"/>
  <c r="D20" i="11" s="1"/>
  <c r="M23" i="11"/>
  <c r="N23" i="11" s="1"/>
  <c r="C21" i="12"/>
  <c r="D21" i="12" s="1"/>
  <c r="H9" i="11"/>
  <c r="I9" i="11" s="1"/>
  <c r="C22" i="11"/>
  <c r="D22" i="11" s="1"/>
  <c r="M5" i="12"/>
  <c r="N5" i="12" s="1"/>
  <c r="C8" i="12"/>
  <c r="D8" i="12" s="1"/>
  <c r="H21" i="12"/>
  <c r="I21" i="12" s="1"/>
  <c r="Q28" i="12"/>
  <c r="B30" i="12"/>
  <c r="N18" i="12"/>
  <c r="N17" i="12"/>
  <c r="B12" i="12"/>
  <c r="B13" i="12" s="1"/>
  <c r="S12" i="12" s="1"/>
  <c r="B11" i="12"/>
  <c r="G30" i="12"/>
  <c r="G12" i="12"/>
  <c r="G13" i="12" s="1"/>
  <c r="S13" i="12" s="1"/>
  <c r="G11" i="12"/>
  <c r="L33" i="12"/>
  <c r="L12" i="12"/>
  <c r="L13" i="12" s="1"/>
  <c r="S14" i="12" s="1"/>
  <c r="L11" i="12"/>
  <c r="L37" i="12"/>
  <c r="Q8" i="12"/>
  <c r="Q9" i="12" s="1"/>
  <c r="S17" i="12" s="1"/>
  <c r="P5" i="12" s="1"/>
  <c r="R5" i="12" s="1"/>
  <c r="S5" i="12" s="1"/>
  <c r="Q6" i="12" s="1"/>
  <c r="Q7" i="12"/>
  <c r="B36" i="12"/>
  <c r="B26" i="12"/>
  <c r="B25" i="12"/>
  <c r="G36" i="12"/>
  <c r="G26" i="12"/>
  <c r="G27" i="12" s="1"/>
  <c r="S16" i="12" s="1"/>
  <c r="G25" i="12"/>
  <c r="S32" i="12"/>
  <c r="S33" i="12"/>
  <c r="L26" i="12"/>
  <c r="L18" i="12" s="1"/>
  <c r="S35" i="12"/>
  <c r="S36" i="12"/>
  <c r="S37" i="12"/>
  <c r="S28" i="12"/>
  <c r="B33" i="12"/>
  <c r="G33" i="12"/>
  <c r="N34" i="12"/>
  <c r="S34" i="12" s="1"/>
  <c r="B39" i="12"/>
  <c r="G39" i="12"/>
  <c r="N39" i="12"/>
  <c r="B30" i="11"/>
  <c r="N18" i="11"/>
  <c r="N17" i="11"/>
  <c r="B12" i="11"/>
  <c r="B13" i="11" s="1"/>
  <c r="S12" i="11" s="1"/>
  <c r="B11" i="11"/>
  <c r="G30" i="11"/>
  <c r="G12" i="11"/>
  <c r="G13" i="11" s="1"/>
  <c r="S13" i="11" s="1"/>
  <c r="G11" i="11"/>
  <c r="L33" i="11"/>
  <c r="L12" i="11"/>
  <c r="L13" i="11" s="1"/>
  <c r="S14" i="11" s="1"/>
  <c r="L11" i="11"/>
  <c r="L37" i="11"/>
  <c r="Q8" i="11"/>
  <c r="Q9" i="11" s="1"/>
  <c r="S17" i="11" s="1"/>
  <c r="P5" i="11" s="1"/>
  <c r="R5" i="11" s="1"/>
  <c r="S5" i="11" s="1"/>
  <c r="Q6" i="11" s="1"/>
  <c r="Q7" i="11"/>
  <c r="B36" i="11"/>
  <c r="B26" i="11"/>
  <c r="B25" i="11"/>
  <c r="G36" i="11"/>
  <c r="G26" i="11"/>
  <c r="G27" i="11" s="1"/>
  <c r="S16" i="11" s="1"/>
  <c r="G25" i="11"/>
  <c r="S32" i="11"/>
  <c r="S33" i="11"/>
  <c r="L26" i="11"/>
  <c r="L18" i="11" s="1"/>
  <c r="S35" i="11"/>
  <c r="S36" i="11"/>
  <c r="S37" i="11"/>
  <c r="S28" i="11"/>
  <c r="B33" i="11"/>
  <c r="G33" i="11"/>
  <c r="N34" i="11"/>
  <c r="S34" i="11" s="1"/>
  <c r="B39" i="11"/>
  <c r="G39" i="11"/>
  <c r="N39" i="11"/>
  <c r="R8" i="5"/>
  <c r="S8" i="5" s="1"/>
  <c r="R6" i="5"/>
  <c r="S6" i="5" s="1"/>
  <c r="H7" i="6"/>
  <c r="I7" i="6" s="1"/>
  <c r="S34" i="6"/>
  <c r="M24" i="6"/>
  <c r="N24" i="6" s="1"/>
  <c r="M26" i="6"/>
  <c r="N26" i="6" s="1"/>
  <c r="S35" i="6"/>
  <c r="C24" i="6"/>
  <c r="D24" i="6" s="1"/>
  <c r="C26" i="6"/>
  <c r="D26" i="6" s="1"/>
  <c r="M9" i="6"/>
  <c r="N9" i="6" s="1"/>
  <c r="H26" i="6"/>
  <c r="I26" i="6" s="1"/>
  <c r="C8" i="6"/>
  <c r="D8" i="6" s="1"/>
  <c r="C6" i="6"/>
  <c r="D6" i="6" s="1"/>
  <c r="C23" i="6"/>
  <c r="D23" i="6" s="1"/>
  <c r="C25" i="6"/>
  <c r="D25" i="6" s="1"/>
  <c r="Q29" i="6"/>
  <c r="C9" i="6"/>
  <c r="D9" i="6" s="1"/>
  <c r="M27" i="6"/>
  <c r="N27" i="6" s="1"/>
  <c r="M6" i="6"/>
  <c r="N6" i="6" s="1"/>
  <c r="Q35" i="5"/>
  <c r="C7" i="6"/>
  <c r="D7" i="6" s="1"/>
  <c r="H8" i="6"/>
  <c r="I8" i="6" s="1"/>
  <c r="H6" i="6"/>
  <c r="I6" i="6" s="1"/>
  <c r="M8" i="6"/>
  <c r="N8" i="6" s="1"/>
  <c r="H23" i="6"/>
  <c r="I23" i="6" s="1"/>
  <c r="H25" i="6"/>
  <c r="I25" i="6" s="1"/>
  <c r="H9" i="6"/>
  <c r="M25" i="6"/>
  <c r="N25" i="6" s="1"/>
  <c r="M7" i="6"/>
  <c r="N7" i="6" s="1"/>
  <c r="H24" i="6"/>
  <c r="I24" i="6" s="1"/>
  <c r="B38" i="6"/>
  <c r="N22" i="6"/>
  <c r="N21" i="6"/>
  <c r="B15" i="6"/>
  <c r="B16" i="6" s="1"/>
  <c r="S13" i="6" s="1"/>
  <c r="B14" i="6"/>
  <c r="G38" i="6"/>
  <c r="G15" i="6"/>
  <c r="G16" i="6" s="1"/>
  <c r="S14" i="6" s="1"/>
  <c r="G14" i="6"/>
  <c r="L38" i="6"/>
  <c r="L15" i="6"/>
  <c r="L16" i="6" s="1"/>
  <c r="S15" i="6" s="1"/>
  <c r="L14" i="6"/>
  <c r="L44" i="6"/>
  <c r="Q9" i="6"/>
  <c r="Q10" i="6" s="1"/>
  <c r="S18" i="6" s="1"/>
  <c r="P6" i="6" s="1"/>
  <c r="R6" i="6" s="1"/>
  <c r="Q8" i="6"/>
  <c r="N44" i="6"/>
  <c r="L47" i="6" s="1"/>
  <c r="L28" i="6"/>
  <c r="B44" i="6"/>
  <c r="B32" i="6"/>
  <c r="B33" i="6" s="1"/>
  <c r="S16" i="6" s="1"/>
  <c r="B31" i="6"/>
  <c r="G44" i="6"/>
  <c r="G32" i="6"/>
  <c r="G33" i="6" s="1"/>
  <c r="G31" i="6"/>
  <c r="S31" i="6"/>
  <c r="S32" i="6"/>
  <c r="N30" i="6"/>
  <c r="S36" i="6"/>
  <c r="B41" i="6"/>
  <c r="G41" i="6"/>
  <c r="L40" i="6"/>
  <c r="S33" i="6" s="1"/>
  <c r="B47" i="6"/>
  <c r="G47" i="6"/>
  <c r="H8" i="5"/>
  <c r="I8" i="5" s="1"/>
  <c r="C6" i="5"/>
  <c r="D6" i="5" s="1"/>
  <c r="C8" i="5"/>
  <c r="D8" i="5" s="1"/>
  <c r="H26" i="5"/>
  <c r="I26" i="5" s="1"/>
  <c r="H6" i="5"/>
  <c r="I6" i="5" s="1"/>
  <c r="M8" i="5"/>
  <c r="N8" i="5" s="1"/>
  <c r="M6" i="5"/>
  <c r="N6" i="5" s="1"/>
  <c r="R7" i="5"/>
  <c r="S7" i="5" s="1"/>
  <c r="R9" i="5"/>
  <c r="S9" i="5" s="1"/>
  <c r="H23" i="5"/>
  <c r="I23" i="5" s="1"/>
  <c r="H25" i="5"/>
  <c r="I25" i="5" s="1"/>
  <c r="H7" i="5"/>
  <c r="I7" i="5" s="1"/>
  <c r="M24" i="5"/>
  <c r="N24" i="5" s="1"/>
  <c r="H9" i="5"/>
  <c r="M23" i="5"/>
  <c r="N23" i="5" s="1"/>
  <c r="M25" i="5"/>
  <c r="N25" i="5" s="1"/>
  <c r="M7" i="5"/>
  <c r="N7" i="5" s="1"/>
  <c r="C24" i="5"/>
  <c r="D24" i="5" s="1"/>
  <c r="H24" i="5"/>
  <c r="I24" i="5" s="1"/>
  <c r="C26" i="5"/>
  <c r="D26" i="5" s="1"/>
  <c r="M26" i="5"/>
  <c r="N26" i="5" s="1"/>
  <c r="C7" i="5"/>
  <c r="D7" i="5" s="1"/>
  <c r="C9" i="5"/>
  <c r="D9" i="5" s="1"/>
  <c r="C23" i="5"/>
  <c r="D23" i="5" s="1"/>
  <c r="C25" i="5"/>
  <c r="D25" i="5" s="1"/>
  <c r="M9" i="5"/>
  <c r="N9" i="5" s="1"/>
  <c r="B38" i="5"/>
  <c r="N21" i="5"/>
  <c r="B15" i="5"/>
  <c r="B16" i="5" s="1"/>
  <c r="S19" i="5" s="1"/>
  <c r="B14" i="5"/>
  <c r="G38" i="5"/>
  <c r="G15" i="5"/>
  <c r="G16" i="5" s="1"/>
  <c r="S20" i="5" s="1"/>
  <c r="G14" i="5"/>
  <c r="L38" i="5"/>
  <c r="L15" i="5"/>
  <c r="L16" i="5" s="1"/>
  <c r="S21" i="5" s="1"/>
  <c r="L14" i="5"/>
  <c r="L44" i="5"/>
  <c r="Q15" i="5"/>
  <c r="Q16" i="5" s="1"/>
  <c r="S24" i="5" s="1"/>
  <c r="Q14" i="5"/>
  <c r="B44" i="5"/>
  <c r="B32" i="5"/>
  <c r="B33" i="5" s="1"/>
  <c r="S22" i="5" s="1"/>
  <c r="B31" i="5"/>
  <c r="G44" i="5"/>
  <c r="G32" i="5"/>
  <c r="G31" i="5"/>
  <c r="N30" i="5"/>
  <c r="S37" i="5"/>
  <c r="S38" i="5"/>
  <c r="S40" i="5"/>
  <c r="S41" i="5"/>
  <c r="S42" i="5"/>
  <c r="B41" i="5"/>
  <c r="G41" i="5"/>
  <c r="L40" i="5"/>
  <c r="S39" i="5" s="1"/>
  <c r="B47" i="5"/>
  <c r="G47" i="5"/>
  <c r="L47" i="5"/>
  <c r="S28" i="8" l="1"/>
  <c r="S29" i="8" s="1"/>
  <c r="S37" i="8"/>
  <c r="Q29" i="8"/>
  <c r="L18" i="8"/>
  <c r="B27" i="8"/>
  <c r="N30" i="8"/>
  <c r="L27" i="8"/>
  <c r="N28" i="8"/>
  <c r="AA25" i="8" s="1"/>
  <c r="N19" i="8"/>
  <c r="L16" i="8"/>
  <c r="N28" i="10"/>
  <c r="AA25" i="10" s="1"/>
  <c r="N30" i="10"/>
  <c r="B27" i="10"/>
  <c r="N19" i="10"/>
  <c r="L16" i="10"/>
  <c r="N16" i="10" s="1"/>
  <c r="N15" i="10" s="1"/>
  <c r="N29" i="10"/>
  <c r="L15" i="10" s="1"/>
  <c r="L27" i="10"/>
  <c r="G24" i="11"/>
  <c r="L10" i="12"/>
  <c r="B24" i="12"/>
  <c r="G10" i="12"/>
  <c r="Q29" i="11"/>
  <c r="S29" i="12"/>
  <c r="B10" i="12"/>
  <c r="B24" i="11"/>
  <c r="B10" i="11"/>
  <c r="G24" i="12"/>
  <c r="L10" i="11"/>
  <c r="S29" i="11"/>
  <c r="Q29" i="12"/>
  <c r="G10" i="11"/>
  <c r="N28" i="12"/>
  <c r="AA25" i="12" s="1"/>
  <c r="N30" i="12"/>
  <c r="B27" i="12"/>
  <c r="L27" i="12"/>
  <c r="N28" i="11"/>
  <c r="AA25" i="11" s="1"/>
  <c r="N30" i="11"/>
  <c r="B27" i="11"/>
  <c r="L27" i="11"/>
  <c r="L13" i="6"/>
  <c r="Q30" i="6"/>
  <c r="B30" i="6"/>
  <c r="Q36" i="5"/>
  <c r="G13" i="6"/>
  <c r="G30" i="6"/>
  <c r="L32" i="6"/>
  <c r="L32" i="5"/>
  <c r="G33" i="5"/>
  <c r="L33" i="5" s="1"/>
  <c r="S25" i="5" s="1"/>
  <c r="B13" i="6"/>
  <c r="I9" i="6"/>
  <c r="L33" i="6"/>
  <c r="S19" i="6" s="1"/>
  <c r="S17" i="6"/>
  <c r="L30" i="6"/>
  <c r="M28" i="6"/>
  <c r="S6" i="6"/>
  <c r="L31" i="6"/>
  <c r="Q13" i="5"/>
  <c r="G30" i="5"/>
  <c r="B30" i="5"/>
  <c r="G13" i="5"/>
  <c r="I9" i="5"/>
  <c r="L13" i="5"/>
  <c r="B13" i="5"/>
  <c r="L30" i="5"/>
  <c r="L31" i="5"/>
  <c r="L28" i="8" l="1"/>
  <c r="S15" i="8"/>
  <c r="AA26" i="8"/>
  <c r="N25" i="8"/>
  <c r="N16" i="8"/>
  <c r="N29" i="8"/>
  <c r="L15" i="8" s="1"/>
  <c r="L28" i="10"/>
  <c r="S15" i="10"/>
  <c r="AA26" i="10"/>
  <c r="N25" i="10"/>
  <c r="N19" i="11"/>
  <c r="L16" i="11"/>
  <c r="N16" i="11" s="1"/>
  <c r="N15" i="11" s="1"/>
  <c r="L16" i="12"/>
  <c r="N29" i="12" s="1"/>
  <c r="L15" i="12" s="1"/>
  <c r="N19" i="12"/>
  <c r="L28" i="12"/>
  <c r="S15" i="12"/>
  <c r="AA26" i="12"/>
  <c r="N25" i="12"/>
  <c r="L28" i="11"/>
  <c r="S15" i="11"/>
  <c r="AA26" i="11"/>
  <c r="N25" i="11"/>
  <c r="L20" i="6"/>
  <c r="N20" i="6" s="1"/>
  <c r="N19" i="6" s="1"/>
  <c r="S23" i="5"/>
  <c r="N28" i="6"/>
  <c r="Q7" i="6"/>
  <c r="L22" i="6" s="1"/>
  <c r="L20" i="5"/>
  <c r="N32" i="5" s="1"/>
  <c r="L29" i="8" l="1"/>
  <c r="L30" i="8"/>
  <c r="S18" i="8"/>
  <c r="N27" i="8"/>
  <c r="N26" i="8"/>
  <c r="AB15" i="8"/>
  <c r="N15" i="8"/>
  <c r="N27" i="10"/>
  <c r="N26" i="10"/>
  <c r="AB15" i="10"/>
  <c r="L29" i="10"/>
  <c r="L30" i="10" s="1"/>
  <c r="S18" i="10"/>
  <c r="N29" i="11"/>
  <c r="L15" i="11" s="1"/>
  <c r="N16" i="12"/>
  <c r="N15" i="12" s="1"/>
  <c r="N27" i="12"/>
  <c r="N26" i="12"/>
  <c r="L29" i="12"/>
  <c r="L30" i="12" s="1"/>
  <c r="S18" i="12"/>
  <c r="N27" i="11"/>
  <c r="N26" i="11"/>
  <c r="AB15" i="11"/>
  <c r="L29" i="11"/>
  <c r="L30" i="11" s="1"/>
  <c r="S18" i="11"/>
  <c r="N29" i="6"/>
  <c r="L19" i="6"/>
  <c r="N32" i="6"/>
  <c r="N28" i="5"/>
  <c r="N20" i="5"/>
  <c r="N19" i="5" s="1"/>
  <c r="AB15" i="12" l="1"/>
  <c r="L19" i="5"/>
</calcChain>
</file>

<file path=xl/sharedStrings.xml><?xml version="1.0" encoding="utf-8"?>
<sst xmlns="http://schemas.openxmlformats.org/spreadsheetml/2006/main" count="1108" uniqueCount="114">
  <si>
    <t>MASSA</t>
  </si>
  <si>
    <t>KAUPPA</t>
  </si>
  <si>
    <t>PAKASTE</t>
  </si>
  <si>
    <t>KÄYTTÖTAVARA</t>
  </si>
  <si>
    <t>Kerättävä määrä</t>
  </si>
  <si>
    <t>Keräysteho kpl/h</t>
  </si>
  <si>
    <t>Vuoron päättymisaika</t>
  </si>
  <si>
    <t>HKL</t>
  </si>
  <si>
    <t>Aikaa jäljellä (h)</t>
  </si>
  <si>
    <t>keräystunnit jäljellä</t>
  </si>
  <si>
    <t>Kokonaistyötunnit (Jäljellä)</t>
  </si>
  <si>
    <t>Kerääjät / yht</t>
  </si>
  <si>
    <t>Tuotteita / kerääjä</t>
  </si>
  <si>
    <t>Arvioitu kesto (Tunnit)</t>
  </si>
  <si>
    <t>Arvioitu valmistuminen</t>
  </si>
  <si>
    <t>KERÄTTÄVÄ MÄÄRÄ</t>
  </si>
  <si>
    <t>ARVIOITU VALMISTUMINEN</t>
  </si>
  <si>
    <t>Nykyinen aika</t>
  </si>
  <si>
    <t>LÄMMIN AUTO</t>
  </si>
  <si>
    <t>KYLMÄ AUTO</t>
  </si>
  <si>
    <t>Lisätyötarve HH:MM</t>
  </si>
  <si>
    <t>Lisätyötuntikapa</t>
  </si>
  <si>
    <t>Keräysteho kpl/h ET</t>
  </si>
  <si>
    <t>Keräyskapa</t>
  </si>
  <si>
    <t>Lisätunnit</t>
  </si>
  <si>
    <t>Kerättävä määrä ET</t>
  </si>
  <si>
    <t>Kahvitauot HH:MM</t>
  </si>
  <si>
    <t>Kerättävä määrä ET + KT</t>
  </si>
  <si>
    <t>KOKONAIS</t>
  </si>
  <si>
    <t>HKL ET</t>
  </si>
  <si>
    <t>Keräysteho kpl/h ET + KT</t>
  </si>
  <si>
    <t>LAATIKOITA JÄLJELLÄ</t>
  </si>
  <si>
    <t>KIERROKSIA JÄLJELLÄ</t>
  </si>
  <si>
    <t>XL MASSA</t>
  </si>
  <si>
    <t>KIERROKSIA</t>
  </si>
  <si>
    <t>PSS</t>
  </si>
  <si>
    <t>-</t>
  </si>
  <si>
    <t xml:space="preserve">Ylim. Työaika </t>
  </si>
  <si>
    <t>RULLAKOITA</t>
  </si>
  <si>
    <t>Ylim. Työaika - tauko</t>
  </si>
  <si>
    <t>Ylim. Työaika - keskiarvo</t>
  </si>
  <si>
    <t>Arvioitu valm. + tauko</t>
  </si>
  <si>
    <t>Tarvittavat työtunnit</t>
  </si>
  <si>
    <t>~ Per kerääjä</t>
  </si>
  <si>
    <t>Tuotteita</t>
  </si>
  <si>
    <t>Arvioitu valm. keskiarvo</t>
  </si>
  <si>
    <t>Arvioitu kesto HH:MM</t>
  </si>
  <si>
    <t>Laatikoita</t>
  </si>
  <si>
    <t>RULLAKOITA / LAATIKOITA</t>
  </si>
  <si>
    <t>PER KERÄÄJÄ</t>
  </si>
  <si>
    <t>Kierroksia</t>
  </si>
  <si>
    <t>Kierroksia/kerääjä</t>
  </si>
  <si>
    <t>Pss/laatikoita</t>
  </si>
  <si>
    <t>~ PER KERÄÄJÄ</t>
  </si>
  <si>
    <t xml:space="preserve"> </t>
  </si>
  <si>
    <t>Rullakoita</t>
  </si>
  <si>
    <t>↻</t>
  </si>
  <si>
    <t>Rullakoita/kerääjä</t>
  </si>
  <si>
    <t>Arvioitu aika</t>
  </si>
  <si>
    <t>Ylim. Työaika</t>
  </si>
  <si>
    <t>KOKONAIS ET</t>
  </si>
  <si>
    <t>HKL KT</t>
  </si>
  <si>
    <t>MANUAL</t>
  </si>
  <si>
    <t>INSTORE</t>
  </si>
  <si>
    <t>FROZEN</t>
  </si>
  <si>
    <t>NON-FOOD INSTORE</t>
  </si>
  <si>
    <t>Items to pick</t>
  </si>
  <si>
    <t>Picking Rate pcs/h</t>
  </si>
  <si>
    <t>Shift End Time</t>
  </si>
  <si>
    <t>HC</t>
  </si>
  <si>
    <t>Time Remaining (H)</t>
  </si>
  <si>
    <t>Hours Remaining</t>
  </si>
  <si>
    <t>Total Hours Remaining</t>
  </si>
  <si>
    <t>Total Pickers</t>
  </si>
  <si>
    <t>Items per Picker</t>
  </si>
  <si>
    <t>Estimated durarion (H)</t>
  </si>
  <si>
    <t>Estimated Completion</t>
  </si>
  <si>
    <t>PICKING VOLUME</t>
  </si>
  <si>
    <t>ESTIMATED COMPLETION</t>
  </si>
  <si>
    <t>Current Time</t>
  </si>
  <si>
    <t>AMBIENT GTP</t>
  </si>
  <si>
    <t>CHILLED GTP</t>
  </si>
  <si>
    <t>Add hours required</t>
  </si>
  <si>
    <t>Add Hour Capacity</t>
  </si>
  <si>
    <t>Picking Rate pcs/h ET</t>
  </si>
  <si>
    <t>Picking Capacity</t>
  </si>
  <si>
    <t>Add Hours</t>
  </si>
  <si>
    <t>Picking Volume ET</t>
  </si>
  <si>
    <t>Breaks HH:MM</t>
  </si>
  <si>
    <t>Picking volume ET + KT</t>
  </si>
  <si>
    <t>TOTAL</t>
  </si>
  <si>
    <t>HC ET</t>
  </si>
  <si>
    <t>Picking Rate pcs/h ET + KT</t>
  </si>
  <si>
    <t>TMs Left</t>
  </si>
  <si>
    <t>Rounds Left</t>
  </si>
  <si>
    <t>XL MANUAL</t>
  </si>
  <si>
    <t>ROUNDS</t>
  </si>
  <si>
    <t>BAGS</t>
  </si>
  <si>
    <t>Excess Work Time</t>
  </si>
  <si>
    <t>TROLLEYS</t>
  </si>
  <si>
    <t>Excess Work Time - Breaks</t>
  </si>
  <si>
    <t>Excess Work Time - Avg.</t>
  </si>
  <si>
    <t>Estimated Complation</t>
  </si>
  <si>
    <t>Total Work Hous Rem.</t>
  </si>
  <si>
    <t>Est. Completion + Breaks</t>
  </si>
  <si>
    <t>Required Work Hours</t>
  </si>
  <si>
    <t>~ Per Picker</t>
  </si>
  <si>
    <t>Items</t>
  </si>
  <si>
    <t>Est Completion Avg.</t>
  </si>
  <si>
    <t>Est. Duration HH:MM</t>
  </si>
  <si>
    <t>TMs</t>
  </si>
  <si>
    <t>Picking Rounds</t>
  </si>
  <si>
    <t>Picking Rounds / Person</t>
  </si>
  <si>
    <t>Totes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</si>
</sst>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-F400]h:mm:ss\ AM/PM"/>
    <numFmt numFmtId="165" formatCode="h:mm;@"/>
    <numFmt numFmtId="166" formatCode="0.0"/>
    <numFmt numFmtId="167" formatCode="h:mm:ss;@"/>
    <numFmt numFmtId="168" formatCode="[h]:mm"/>
    <numFmt numFmtId="169" formatCode="mm/dd/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u/>
      <sz val="20"/>
      <color rgb="FF000000"/>
      <name val="Calibri"/>
      <scheme val="minor"/>
    </font>
    <font>
      <b/>
      <u/>
      <sz val="20"/>
      <color rgb="FF000000"/>
      <name val="Calibri"/>
      <family val="2"/>
      <scheme val="minor"/>
    </font>
    <font>
      <b/>
      <sz val="20"/>
      <color theme="0"/>
      <name val="Calibri"/>
      <scheme val="minor"/>
    </font>
    <font>
      <b/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4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165" fontId="1" fillId="3" borderId="1" xfId="0" applyNumberFormat="1" applyFont="1" applyFill="1" applyBorder="1"/>
    <xf numFmtId="46" fontId="1" fillId="3" borderId="1" xfId="0" applyNumberFormat="1" applyFont="1" applyFill="1" applyBorder="1"/>
    <xf numFmtId="2" fontId="1" fillId="3" borderId="1" xfId="0" applyNumberFormat="1" applyFont="1" applyFill="1" applyBorder="1"/>
    <xf numFmtId="0" fontId="3" fillId="5" borderId="1" xfId="0" applyFont="1" applyFill="1" applyBorder="1"/>
    <xf numFmtId="0" fontId="3" fillId="5" borderId="1" xfId="0" applyFont="1" applyFill="1" applyBorder="1" applyProtection="1">
      <protection hidden="1"/>
    </xf>
    <xf numFmtId="0" fontId="1" fillId="3" borderId="1" xfId="0" applyFont="1" applyFill="1" applyBorder="1" applyProtection="1">
      <protection hidden="1"/>
    </xf>
    <xf numFmtId="165" fontId="1" fillId="3" borderId="1" xfId="0" applyNumberFormat="1" applyFont="1" applyFill="1" applyBorder="1" applyProtection="1">
      <protection hidden="1"/>
    </xf>
    <xf numFmtId="46" fontId="1" fillId="3" borderId="1" xfId="0" applyNumberFormat="1" applyFont="1" applyFill="1" applyBorder="1" applyProtection="1">
      <protection hidden="1"/>
    </xf>
    <xf numFmtId="2" fontId="1" fillId="3" borderId="1" xfId="0" applyNumberFormat="1" applyFont="1" applyFill="1" applyBorder="1" applyProtection="1">
      <protection hidden="1"/>
    </xf>
    <xf numFmtId="0" fontId="3" fillId="11" borderId="1" xfId="0" applyFont="1" applyFill="1" applyBorder="1"/>
    <xf numFmtId="166" fontId="1" fillId="3" borderId="1" xfId="0" applyNumberFormat="1" applyFont="1" applyFill="1" applyBorder="1"/>
    <xf numFmtId="0" fontId="0" fillId="2" borderId="2" xfId="0" applyFill="1" applyBorder="1"/>
    <xf numFmtId="165" fontId="1" fillId="3" borderId="1" xfId="0" applyNumberFormat="1" applyFont="1" applyFill="1" applyBorder="1" applyAlignment="1">
      <alignment horizontal="right"/>
    </xf>
    <xf numFmtId="0" fontId="3" fillId="10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6" borderId="1" xfId="0" applyFont="1" applyFill="1" applyBorder="1"/>
    <xf numFmtId="0" fontId="3" fillId="13" borderId="1" xfId="0" applyFont="1" applyFill="1" applyBorder="1"/>
    <xf numFmtId="0" fontId="3" fillId="1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/>
    <xf numFmtId="0" fontId="3" fillId="3" borderId="0" xfId="0" applyFont="1" applyFill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4" xfId="0" applyFill="1" applyBorder="1" applyAlignment="1">
      <alignment wrapText="1"/>
    </xf>
    <xf numFmtId="0" fontId="0" fillId="12" borderId="0" xfId="0" applyFill="1"/>
    <xf numFmtId="0" fontId="1" fillId="4" borderId="3" xfId="0" applyFont="1" applyFill="1" applyBorder="1" applyAlignment="1">
      <alignment horizontal="left"/>
    </xf>
    <xf numFmtId="0" fontId="3" fillId="5" borderId="5" xfId="0" applyFont="1" applyFill="1" applyBorder="1"/>
    <xf numFmtId="165" fontId="1" fillId="3" borderId="5" xfId="0" applyNumberFormat="1" applyFont="1" applyFill="1" applyBorder="1"/>
    <xf numFmtId="0" fontId="3" fillId="5" borderId="5" xfId="0" applyFont="1" applyFill="1" applyBorder="1" applyProtection="1">
      <protection hidden="1"/>
    </xf>
    <xf numFmtId="165" fontId="1" fillId="3" borderId="5" xfId="0" applyNumberFormat="1" applyFont="1" applyFill="1" applyBorder="1" applyProtection="1">
      <protection hidden="1"/>
    </xf>
    <xf numFmtId="0" fontId="0" fillId="2" borderId="6" xfId="0" applyFill="1" applyBorder="1"/>
    <xf numFmtId="0" fontId="4" fillId="2" borderId="0" xfId="0" applyFont="1" applyFill="1"/>
    <xf numFmtId="0" fontId="3" fillId="5" borderId="2" xfId="0" applyFont="1" applyFill="1" applyBorder="1" applyProtection="1">
      <protection hidden="1"/>
    </xf>
    <xf numFmtId="46" fontId="1" fillId="3" borderId="2" xfId="0" applyNumberFormat="1" applyFont="1" applyFill="1" applyBorder="1" applyProtection="1">
      <protection hidden="1"/>
    </xf>
    <xf numFmtId="0" fontId="1" fillId="3" borderId="2" xfId="0" applyFont="1" applyFill="1" applyBorder="1" applyProtection="1">
      <protection hidden="1"/>
    </xf>
    <xf numFmtId="0" fontId="0" fillId="2" borderId="8" xfId="0" applyFill="1" applyBorder="1"/>
    <xf numFmtId="0" fontId="1" fillId="3" borderId="2" xfId="0" applyFont="1" applyFill="1" applyBorder="1"/>
    <xf numFmtId="0" fontId="3" fillId="10" borderId="3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3" fillId="11" borderId="3" xfId="0" applyFont="1" applyFill="1" applyBorder="1"/>
    <xf numFmtId="0" fontId="0" fillId="0" borderId="9" xfId="0" applyBorder="1"/>
    <xf numFmtId="165" fontId="1" fillId="3" borderId="2" xfId="0" applyNumberFormat="1" applyFont="1" applyFill="1" applyBorder="1"/>
    <xf numFmtId="0" fontId="3" fillId="10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8" borderId="10" xfId="0" applyFont="1" applyFill="1" applyBorder="1" applyAlignment="1">
      <alignment horizontal="left"/>
    </xf>
    <xf numFmtId="0" fontId="3" fillId="9" borderId="10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left"/>
    </xf>
    <xf numFmtId="0" fontId="3" fillId="13" borderId="10" xfId="0" applyFont="1" applyFill="1" applyBorder="1" applyAlignment="1">
      <alignment horizontal="left"/>
    </xf>
    <xf numFmtId="46" fontId="1" fillId="3" borderId="3" xfId="0" applyNumberFormat="1" applyFont="1" applyFill="1" applyBorder="1"/>
    <xf numFmtId="0" fontId="3" fillId="10" borderId="3" xfId="0" applyFont="1" applyFill="1" applyBorder="1"/>
    <xf numFmtId="0" fontId="3" fillId="7" borderId="3" xfId="0" applyFont="1" applyFill="1" applyBorder="1"/>
    <xf numFmtId="0" fontId="3" fillId="8" borderId="3" xfId="0" applyFont="1" applyFill="1" applyBorder="1"/>
    <xf numFmtId="0" fontId="3" fillId="9" borderId="3" xfId="0" applyFont="1" applyFill="1" applyBorder="1"/>
    <xf numFmtId="0" fontId="3" fillId="6" borderId="3" xfId="0" applyFont="1" applyFill="1" applyBorder="1"/>
    <xf numFmtId="0" fontId="3" fillId="13" borderId="3" xfId="0" applyFont="1" applyFill="1" applyBorder="1"/>
    <xf numFmtId="0" fontId="4" fillId="5" borderId="5" xfId="0" applyFont="1" applyFill="1" applyBorder="1"/>
    <xf numFmtId="0" fontId="0" fillId="0" borderId="11" xfId="0" applyBorder="1"/>
    <xf numFmtId="0" fontId="1" fillId="3" borderId="4" xfId="0" applyFont="1" applyFill="1" applyBorder="1"/>
    <xf numFmtId="0" fontId="0" fillId="0" borderId="1" xfId="0" applyBorder="1" applyProtection="1">
      <protection locked="0"/>
    </xf>
    <xf numFmtId="0" fontId="0" fillId="4" borderId="1" xfId="0" applyFill="1" applyBorder="1" applyProtection="1">
      <protection locked="0"/>
    </xf>
    <xf numFmtId="22" fontId="1" fillId="3" borderId="3" xfId="0" applyNumberFormat="1" applyFont="1" applyFill="1" applyBorder="1"/>
    <xf numFmtId="0" fontId="3" fillId="11" borderId="1" xfId="0" applyFont="1" applyFill="1" applyBorder="1" applyAlignment="1" applyProtection="1">
      <alignment horizontal="left"/>
      <protection hidden="1"/>
    </xf>
    <xf numFmtId="165" fontId="1" fillId="3" borderId="2" xfId="0" applyNumberFormat="1" applyFont="1" applyFill="1" applyBorder="1" applyAlignment="1" applyProtection="1">
      <alignment horizontal="right"/>
      <protection hidden="1"/>
    </xf>
    <xf numFmtId="1" fontId="1" fillId="3" borderId="2" xfId="0" applyNumberFormat="1" applyFont="1" applyFill="1" applyBorder="1" applyAlignment="1" applyProtection="1">
      <alignment horizontal="right"/>
      <protection hidden="1"/>
    </xf>
    <xf numFmtId="1" fontId="1" fillId="3" borderId="2" xfId="0" applyNumberFormat="1" applyFont="1" applyFill="1" applyBorder="1" applyAlignment="1" applyProtection="1">
      <alignment horizontal="left"/>
      <protection hidden="1"/>
    </xf>
    <xf numFmtId="2" fontId="1" fillId="3" borderId="1" xfId="0" applyNumberFormat="1" applyFont="1" applyFill="1" applyBorder="1" applyAlignment="1" applyProtection="1">
      <alignment horizontal="right"/>
      <protection hidden="1"/>
    </xf>
    <xf numFmtId="166" fontId="0" fillId="4" borderId="1" xfId="0" applyNumberFormat="1" applyFill="1" applyBorder="1" applyAlignment="1" applyProtection="1">
      <alignment horizontal="right"/>
      <protection hidden="1"/>
    </xf>
    <xf numFmtId="167" fontId="1" fillId="3" borderId="3" xfId="0" applyNumberFormat="1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1" fillId="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hidden="1"/>
    </xf>
    <xf numFmtId="0" fontId="0" fillId="3" borderId="2" xfId="0" applyFill="1" applyBorder="1" applyAlignment="1">
      <alignment horizontal="center"/>
    </xf>
    <xf numFmtId="0" fontId="5" fillId="13" borderId="2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3" fillId="5" borderId="1" xfId="0" applyFont="1" applyFill="1" applyBorder="1" applyAlignment="1" applyProtection="1">
      <alignment horizontal="left"/>
      <protection hidden="1"/>
    </xf>
    <xf numFmtId="46" fontId="1" fillId="3" borderId="0" xfId="0" applyNumberFormat="1" applyFont="1" applyFill="1"/>
    <xf numFmtId="0" fontId="3" fillId="5" borderId="3" xfId="0" applyFont="1" applyFill="1" applyBorder="1" applyAlignment="1">
      <alignment horizontal="left"/>
    </xf>
    <xf numFmtId="168" fontId="1" fillId="3" borderId="2" xfId="0" applyNumberFormat="1" applyFont="1" applyFill="1" applyBorder="1" applyAlignment="1" applyProtection="1">
      <alignment horizontal="right"/>
      <protection hidden="1"/>
    </xf>
    <xf numFmtId="0" fontId="3" fillId="5" borderId="2" xfId="0" applyFont="1" applyFill="1" applyBorder="1" applyAlignment="1">
      <alignment horizontal="left"/>
    </xf>
    <xf numFmtId="0" fontId="3" fillId="14" borderId="0" xfId="0" applyFont="1" applyFill="1"/>
    <xf numFmtId="0" fontId="3" fillId="14" borderId="0" xfId="0" applyFont="1" applyFill="1" applyAlignment="1">
      <alignment horizontal="left" vertical="top" wrapText="1"/>
    </xf>
    <xf numFmtId="166" fontId="1" fillId="3" borderId="0" xfId="0" applyNumberFormat="1" applyFont="1" applyFill="1"/>
    <xf numFmtId="20" fontId="0" fillId="0" borderId="0" xfId="0" applyNumberFormat="1"/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left"/>
    </xf>
    <xf numFmtId="0" fontId="0" fillId="15" borderId="0" xfId="0" applyFill="1"/>
    <xf numFmtId="0" fontId="3" fillId="5" borderId="7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46" fontId="1" fillId="3" borderId="9" xfId="0" applyNumberFormat="1" applyFont="1" applyFill="1" applyBorder="1"/>
    <xf numFmtId="46" fontId="1" fillId="3" borderId="5" xfId="0" applyNumberFormat="1" applyFont="1" applyFill="1" applyBorder="1" applyProtection="1">
      <protection hidden="1"/>
    </xf>
    <xf numFmtId="46" fontId="1" fillId="3" borderId="7" xfId="0" applyNumberFormat="1" applyFont="1" applyFill="1" applyBorder="1" applyProtection="1">
      <protection hidden="1"/>
    </xf>
    <xf numFmtId="0" fontId="3" fillId="5" borderId="4" xfId="0" applyFont="1" applyFill="1" applyBorder="1" applyAlignment="1" applyProtection="1">
      <alignment horizontal="left"/>
      <protection hidden="1"/>
    </xf>
    <xf numFmtId="0" fontId="1" fillId="16" borderId="2" xfId="0" applyFont="1" applyFill="1" applyBorder="1" applyProtection="1">
      <protection hidden="1"/>
    </xf>
    <xf numFmtId="46" fontId="1" fillId="16" borderId="9" xfId="0" applyNumberFormat="1" applyFont="1" applyFill="1" applyBorder="1"/>
    <xf numFmtId="2" fontId="1" fillId="16" borderId="1" xfId="0" applyNumberFormat="1" applyFont="1" applyFill="1" applyBorder="1" applyAlignment="1" applyProtection="1">
      <alignment horizontal="right"/>
      <protection hidden="1"/>
    </xf>
    <xf numFmtId="164" fontId="0" fillId="2" borderId="2" xfId="0" applyNumberFormat="1" applyFill="1" applyBorder="1"/>
    <xf numFmtId="165" fontId="1" fillId="3" borderId="9" xfId="0" applyNumberFormat="1" applyFont="1" applyFill="1" applyBorder="1"/>
    <xf numFmtId="168" fontId="1" fillId="3" borderId="9" xfId="0" applyNumberFormat="1" applyFont="1" applyFill="1" applyBorder="1"/>
    <xf numFmtId="0" fontId="0" fillId="3" borderId="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5" fillId="10" borderId="2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6" fontId="0" fillId="2" borderId="5" xfId="0" applyNumberFormat="1" applyFill="1" applyBorder="1"/>
    <xf numFmtId="0" fontId="0" fillId="2" borderId="12" xfId="0" applyFill="1" applyBorder="1"/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166" fontId="1" fillId="3" borderId="19" xfId="0" applyNumberFormat="1" applyFont="1" applyFill="1" applyBorder="1" applyAlignment="1">
      <alignment horizontal="right"/>
    </xf>
    <xf numFmtId="166" fontId="1" fillId="3" borderId="20" xfId="0" applyNumberFormat="1" applyFont="1" applyFill="1" applyBorder="1" applyAlignment="1">
      <alignment horizontal="right"/>
    </xf>
    <xf numFmtId="0" fontId="1" fillId="2" borderId="2" xfId="0" applyFont="1" applyFill="1" applyBorder="1"/>
    <xf numFmtId="0" fontId="3" fillId="11" borderId="9" xfId="0" applyFont="1" applyFill="1" applyBorder="1"/>
    <xf numFmtId="0" fontId="4" fillId="2" borderId="2" xfId="0" applyFont="1" applyFill="1" applyBorder="1"/>
    <xf numFmtId="0" fontId="3" fillId="11" borderId="5" xfId="0" applyFont="1" applyFill="1" applyBorder="1" applyAlignment="1" applyProtection="1">
      <alignment horizontal="left"/>
      <protection hidden="1"/>
    </xf>
    <xf numFmtId="0" fontId="3" fillId="5" borderId="4" xfId="0" applyFont="1" applyFill="1" applyBorder="1" applyProtection="1">
      <protection hidden="1"/>
    </xf>
    <xf numFmtId="0" fontId="3" fillId="13" borderId="12" xfId="0" applyFont="1" applyFill="1" applyBorder="1"/>
    <xf numFmtId="0" fontId="3" fillId="5" borderId="16" xfId="0" applyFont="1" applyFill="1" applyBorder="1" applyAlignment="1">
      <alignment horizontal="left"/>
    </xf>
    <xf numFmtId="0" fontId="3" fillId="5" borderId="27" xfId="0" applyFont="1" applyFill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9" borderId="9" xfId="0" applyFont="1" applyFill="1" applyBorder="1" applyAlignment="1">
      <alignment horizontal="left"/>
    </xf>
    <xf numFmtId="2" fontId="0" fillId="0" borderId="0" xfId="0" applyNumberFormat="1"/>
    <xf numFmtId="166" fontId="1" fillId="3" borderId="9" xfId="0" applyNumberFormat="1" applyFont="1" applyFill="1" applyBorder="1"/>
    <xf numFmtId="0" fontId="0" fillId="2" borderId="13" xfId="0" applyFill="1" applyBorder="1"/>
    <xf numFmtId="0" fontId="1" fillId="3" borderId="9" xfId="0" applyFont="1" applyFill="1" applyBorder="1"/>
    <xf numFmtId="0" fontId="1" fillId="4" borderId="9" xfId="0" applyFont="1" applyFill="1" applyBorder="1" applyAlignment="1">
      <alignment horizontal="left"/>
    </xf>
    <xf numFmtId="0" fontId="3" fillId="14" borderId="9" xfId="0" applyFont="1" applyFill="1" applyBorder="1"/>
    <xf numFmtId="0" fontId="3" fillId="14" borderId="9" xfId="0" applyFont="1" applyFill="1" applyBorder="1" applyAlignment="1">
      <alignment horizontal="left" vertical="top" wrapText="1"/>
    </xf>
    <xf numFmtId="0" fontId="3" fillId="10" borderId="9" xfId="0" applyFont="1" applyFill="1" applyBorder="1"/>
    <xf numFmtId="166" fontId="1" fillId="3" borderId="9" xfId="0" applyNumberFormat="1" applyFont="1" applyFill="1" applyBorder="1" applyAlignment="1">
      <alignment horizontal="right"/>
    </xf>
    <xf numFmtId="0" fontId="3" fillId="7" borderId="9" xfId="0" applyFont="1" applyFill="1" applyBorder="1"/>
    <xf numFmtId="0" fontId="3" fillId="8" borderId="9" xfId="0" applyFont="1" applyFill="1" applyBorder="1"/>
    <xf numFmtId="0" fontId="3" fillId="9" borderId="9" xfId="0" applyFont="1" applyFill="1" applyBorder="1"/>
    <xf numFmtId="0" fontId="3" fillId="6" borderId="9" xfId="0" applyFont="1" applyFill="1" applyBorder="1"/>
    <xf numFmtId="0" fontId="3" fillId="13" borderId="9" xfId="0" applyFont="1" applyFill="1" applyBorder="1"/>
    <xf numFmtId="0" fontId="0" fillId="2" borderId="10" xfId="0" applyFill="1" applyBorder="1"/>
    <xf numFmtId="0" fontId="1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15" xfId="0" applyFill="1" applyBorder="1"/>
    <xf numFmtId="0" fontId="3" fillId="5" borderId="8" xfId="0" applyFont="1" applyFill="1" applyBorder="1" applyAlignment="1" applyProtection="1">
      <alignment horizontal="left"/>
      <protection hidden="1"/>
    </xf>
    <xf numFmtId="0" fontId="1" fillId="3" borderId="8" xfId="0" applyFont="1" applyFill="1" applyBorder="1" applyProtection="1">
      <protection hidden="1"/>
    </xf>
    <xf numFmtId="0" fontId="3" fillId="5" borderId="32" xfId="0" applyFont="1" applyFill="1" applyBorder="1" applyProtection="1">
      <protection hidden="1"/>
    </xf>
    <xf numFmtId="0" fontId="1" fillId="3" borderId="33" xfId="0" applyFont="1" applyFill="1" applyBorder="1" applyProtection="1">
      <protection hidden="1"/>
    </xf>
    <xf numFmtId="2" fontId="1" fillId="16" borderId="32" xfId="0" applyNumberFormat="1" applyFont="1" applyFill="1" applyBorder="1" applyAlignment="1" applyProtection="1">
      <alignment horizontal="right"/>
      <protection hidden="1"/>
    </xf>
    <xf numFmtId="0" fontId="3" fillId="11" borderId="11" xfId="0" applyFont="1" applyFill="1" applyBorder="1"/>
    <xf numFmtId="165" fontId="1" fillId="3" borderId="11" xfId="0" applyNumberFormat="1" applyFont="1" applyFill="1" applyBorder="1"/>
    <xf numFmtId="0" fontId="1" fillId="3" borderId="5" xfId="0" applyFont="1" applyFill="1" applyBorder="1" applyProtection="1">
      <protection hidden="1"/>
    </xf>
    <xf numFmtId="165" fontId="1" fillId="3" borderId="4" xfId="0" applyNumberFormat="1" applyFont="1" applyFill="1" applyBorder="1" applyProtection="1">
      <protection hidden="1"/>
    </xf>
    <xf numFmtId="0" fontId="1" fillId="3" borderId="4" xfId="0" applyFont="1" applyFill="1" applyBorder="1" applyProtection="1">
      <protection hidden="1"/>
    </xf>
    <xf numFmtId="46" fontId="1" fillId="3" borderId="4" xfId="0" applyNumberFormat="1" applyFont="1" applyFill="1" applyBorder="1" applyProtection="1">
      <protection hidden="1"/>
    </xf>
    <xf numFmtId="46" fontId="1" fillId="3" borderId="8" xfId="0" applyNumberFormat="1" applyFont="1" applyFill="1" applyBorder="1" applyProtection="1">
      <protection hidden="1"/>
    </xf>
    <xf numFmtId="165" fontId="1" fillId="3" borderId="32" xfId="0" applyNumberFormat="1" applyFont="1" applyFill="1" applyBorder="1"/>
    <xf numFmtId="0" fontId="1" fillId="3" borderId="32" xfId="0" applyFont="1" applyFill="1" applyBorder="1" applyProtection="1">
      <protection hidden="1"/>
    </xf>
    <xf numFmtId="46" fontId="1" fillId="3" borderId="32" xfId="0" applyNumberFormat="1" applyFont="1" applyFill="1" applyBorder="1" applyProtection="1">
      <protection hidden="1"/>
    </xf>
    <xf numFmtId="46" fontId="1" fillId="3" borderId="34" xfId="0" applyNumberFormat="1" applyFont="1" applyFill="1" applyBorder="1" applyProtection="1">
      <protection hidden="1"/>
    </xf>
    <xf numFmtId="0" fontId="3" fillId="5" borderId="35" xfId="0" applyFont="1" applyFill="1" applyBorder="1" applyAlignment="1" applyProtection="1">
      <alignment horizontal="left"/>
      <protection hidden="1"/>
    </xf>
    <xf numFmtId="46" fontId="1" fillId="3" borderId="36" xfId="0" applyNumberFormat="1" applyFont="1" applyFill="1" applyBorder="1" applyAlignment="1">
      <alignment horizontal="right"/>
    </xf>
    <xf numFmtId="0" fontId="0" fillId="4" borderId="1" xfId="0" applyFill="1" applyBorder="1"/>
    <xf numFmtId="46" fontId="0" fillId="0" borderId="0" xfId="0" applyNumberFormat="1"/>
    <xf numFmtId="44" fontId="0" fillId="0" borderId="0" xfId="0" applyNumberFormat="1"/>
    <xf numFmtId="165" fontId="9" fillId="3" borderId="9" xfId="0" applyNumberFormat="1" applyFont="1" applyFill="1" applyBorder="1"/>
    <xf numFmtId="0" fontId="3" fillId="5" borderId="7" xfId="0" applyFont="1" applyFill="1" applyBorder="1" applyProtection="1">
      <protection hidden="1"/>
    </xf>
    <xf numFmtId="168" fontId="1" fillId="18" borderId="9" xfId="0" applyNumberFormat="1" applyFont="1" applyFill="1" applyBorder="1"/>
    <xf numFmtId="46" fontId="1" fillId="3" borderId="11" xfId="0" applyNumberFormat="1" applyFont="1" applyFill="1" applyBorder="1" applyAlignment="1">
      <alignment horizontal="right"/>
    </xf>
    <xf numFmtId="168" fontId="1" fillId="3" borderId="8" xfId="0" applyNumberFormat="1" applyFont="1" applyFill="1" applyBorder="1" applyAlignment="1" applyProtection="1">
      <alignment horizontal="right"/>
      <protection hidden="1"/>
    </xf>
    <xf numFmtId="2" fontId="1" fillId="3" borderId="2" xfId="0" applyNumberFormat="1" applyFont="1" applyFill="1" applyBorder="1"/>
    <xf numFmtId="46" fontId="1" fillId="3" borderId="2" xfId="0" applyNumberFormat="1" applyFont="1" applyFill="1" applyBorder="1"/>
    <xf numFmtId="0" fontId="1" fillId="3" borderId="5" xfId="0" applyFont="1" applyFill="1" applyBorder="1"/>
    <xf numFmtId="0" fontId="3" fillId="5" borderId="4" xfId="0" applyFont="1" applyFill="1" applyBorder="1"/>
    <xf numFmtId="165" fontId="1" fillId="3" borderId="4" xfId="0" applyNumberFormat="1" applyFont="1" applyFill="1" applyBorder="1"/>
    <xf numFmtId="0" fontId="0" fillId="3" borderId="37" xfId="0" applyFill="1" applyBorder="1" applyAlignment="1">
      <alignment horizontal="center"/>
    </xf>
    <xf numFmtId="46" fontId="0" fillId="3" borderId="38" xfId="0" applyNumberForma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46" fontId="0" fillId="3" borderId="39" xfId="0" applyNumberFormat="1" applyFill="1" applyBorder="1" applyAlignment="1">
      <alignment horizontal="center"/>
    </xf>
    <xf numFmtId="0" fontId="3" fillId="10" borderId="9" xfId="0" applyFont="1" applyFill="1" applyBorder="1" applyAlignment="1">
      <alignment horizontal="left" vertical="top" wrapText="1"/>
    </xf>
    <xf numFmtId="0" fontId="3" fillId="7" borderId="9" xfId="0" applyFont="1" applyFill="1" applyBorder="1" applyAlignment="1">
      <alignment horizontal="left" vertical="top" wrapText="1"/>
    </xf>
    <xf numFmtId="21" fontId="0" fillId="3" borderId="7" xfId="0" applyNumberFormat="1" applyFill="1" applyBorder="1"/>
    <xf numFmtId="21" fontId="0" fillId="3" borderId="12" xfId="0" applyNumberFormat="1" applyFill="1" applyBorder="1"/>
    <xf numFmtId="21" fontId="0" fillId="3" borderId="8" xfId="0" applyNumberFormat="1" applyFill="1" applyBorder="1"/>
    <xf numFmtId="21" fontId="0" fillId="3" borderId="6" xfId="0" applyNumberFormat="1" applyFill="1" applyBorder="1"/>
    <xf numFmtId="0" fontId="5" fillId="9" borderId="2" xfId="0" applyFont="1" applyFill="1" applyBorder="1" applyAlignment="1">
      <alignment horizontal="left"/>
    </xf>
    <xf numFmtId="0" fontId="5" fillId="9" borderId="10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/>
    </xf>
    <xf numFmtId="0" fontId="5" fillId="13" borderId="10" xfId="0" applyFont="1" applyFill="1" applyBorder="1" applyAlignment="1">
      <alignment horizontal="left"/>
    </xf>
    <xf numFmtId="0" fontId="3" fillId="5" borderId="1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0" fillId="2" borderId="4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8" borderId="9" xfId="0" applyFont="1" applyFill="1" applyBorder="1" applyAlignment="1">
      <alignment horizontal="left"/>
    </xf>
    <xf numFmtId="0" fontId="3" fillId="5" borderId="30" xfId="0" applyFont="1" applyFill="1" applyBorder="1" applyAlignment="1">
      <alignment horizontal="left"/>
    </xf>
    <xf numFmtId="0" fontId="3" fillId="5" borderId="31" xfId="0" applyFont="1" applyFill="1" applyBorder="1" applyAlignment="1">
      <alignment horizontal="left"/>
    </xf>
    <xf numFmtId="0" fontId="3" fillId="10" borderId="9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8" borderId="3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2" borderId="4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0" fontId="5" fillId="13" borderId="3" xfId="0" applyFont="1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9" fontId="6" fillId="17" borderId="11" xfId="0" applyNumberFormat="1" applyFont="1" applyFill="1" applyBorder="1" applyAlignment="1">
      <alignment horizontal="center" wrapText="1"/>
    </xf>
    <xf numFmtId="169" fontId="6" fillId="17" borderId="36" xfId="0" applyNumberFormat="1" applyFont="1" applyFill="1" applyBorder="1" applyAlignment="1">
      <alignment horizontal="center" wrapText="1"/>
    </xf>
    <xf numFmtId="0" fontId="8" fillId="17" borderId="11" xfId="0" applyFont="1" applyFill="1" applyBorder="1" applyAlignment="1">
      <alignment horizontal="center"/>
    </xf>
    <xf numFmtId="0" fontId="8" fillId="17" borderId="36" xfId="0" applyFont="1" applyFill="1" applyBorder="1" applyAlignment="1">
      <alignment horizontal="center"/>
    </xf>
    <xf numFmtId="167" fontId="7" fillId="18" borderId="25" xfId="0" applyNumberFormat="1" applyFont="1" applyFill="1" applyBorder="1" applyAlignment="1">
      <alignment horizontal="center"/>
    </xf>
    <xf numFmtId="167" fontId="7" fillId="18" borderId="21" xfId="0" applyNumberFormat="1" applyFont="1" applyFill="1" applyBorder="1" applyAlignment="1">
      <alignment horizontal="center"/>
    </xf>
    <xf numFmtId="167" fontId="7" fillId="18" borderId="26" xfId="0" applyNumberFormat="1" applyFont="1" applyFill="1" applyBorder="1" applyAlignment="1">
      <alignment horizontal="center"/>
    </xf>
    <xf numFmtId="167" fontId="7" fillId="18" borderId="22" xfId="0" applyNumberFormat="1" applyFont="1" applyFill="1" applyBorder="1" applyAlignment="1">
      <alignment horizontal="center"/>
    </xf>
    <xf numFmtId="0" fontId="3" fillId="9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13" borderId="9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3" borderId="7" xfId="0" applyFill="1" applyBorder="1" applyAlignment="1" applyProtection="1">
      <alignment horizontal="center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3" fillId="5" borderId="5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7" fontId="7" fillId="15" borderId="25" xfId="0" applyNumberFormat="1" applyFont="1" applyFill="1" applyBorder="1" applyAlignment="1">
      <alignment horizontal="center"/>
    </xf>
    <xf numFmtId="167" fontId="7" fillId="15" borderId="21" xfId="0" applyNumberFormat="1" applyFont="1" applyFill="1" applyBorder="1" applyAlignment="1">
      <alignment horizontal="center"/>
    </xf>
    <xf numFmtId="167" fontId="7" fillId="15" borderId="26" xfId="0" applyNumberFormat="1" applyFont="1" applyFill="1" applyBorder="1" applyAlignment="1">
      <alignment horizontal="center"/>
    </xf>
    <xf numFmtId="167" fontId="7" fillId="15" borderId="22" xfId="0" applyNumberFormat="1" applyFont="1" applyFill="1" applyBorder="1" applyAlignment="1">
      <alignment horizontal="center"/>
    </xf>
    <xf numFmtId="169" fontId="6" fillId="17" borderId="28" xfId="0" applyNumberFormat="1" applyFont="1" applyFill="1" applyBorder="1" applyAlignment="1">
      <alignment horizontal="center" wrapText="1"/>
    </xf>
    <xf numFmtId="169" fontId="6" fillId="17" borderId="24" xfId="0" applyNumberFormat="1" applyFont="1" applyFill="1" applyBorder="1" applyAlignment="1">
      <alignment horizontal="center" wrapText="1"/>
    </xf>
    <xf numFmtId="0" fontId="8" fillId="17" borderId="29" xfId="0" applyFont="1" applyFill="1" applyBorder="1" applyAlignment="1">
      <alignment horizontal="center"/>
    </xf>
    <xf numFmtId="0" fontId="8" fillId="17" borderId="23" xfId="0" applyFont="1" applyFill="1" applyBorder="1" applyAlignment="1">
      <alignment horizontal="center"/>
    </xf>
    <xf numFmtId="21" fontId="0" fillId="3" borderId="7" xfId="0" applyNumberFormat="1" applyFill="1" applyBorder="1" applyAlignment="1">
      <alignment horizontal="center"/>
    </xf>
    <xf numFmtId="21" fontId="0" fillId="3" borderId="12" xfId="0" applyNumberFormat="1" applyFill="1" applyBorder="1" applyAlignment="1">
      <alignment horizontal="center"/>
    </xf>
    <xf numFmtId="21" fontId="0" fillId="3" borderId="8" xfId="0" applyNumberFormat="1" applyFill="1" applyBorder="1" applyAlignment="1">
      <alignment horizontal="center"/>
    </xf>
    <xf numFmtId="21" fontId="0" fillId="3" borderId="6" xfId="0" applyNumberFormat="1" applyFill="1" applyBorder="1" applyAlignment="1">
      <alignment horizontal="center"/>
    </xf>
    <xf numFmtId="0" fontId="3" fillId="10" borderId="30" xfId="0" applyFont="1" applyFill="1" applyBorder="1" applyAlignment="1">
      <alignment horizontal="left"/>
    </xf>
    <xf numFmtId="0" fontId="3" fillId="10" borderId="31" xfId="0" applyFont="1" applyFill="1" applyBorder="1" applyAlignment="1">
      <alignment horizontal="left"/>
    </xf>
    <xf numFmtId="0" fontId="3" fillId="7" borderId="30" xfId="0" applyFont="1" applyFill="1" applyBorder="1" applyAlignment="1">
      <alignment horizontal="left"/>
    </xf>
    <xf numFmtId="0" fontId="3" fillId="7" borderId="31" xfId="0" applyFont="1" applyFill="1" applyBorder="1" applyAlignment="1">
      <alignment horizontal="left"/>
    </xf>
    <xf numFmtId="167" fontId="7" fillId="18" borderId="37" xfId="0" applyNumberFormat="1" applyFont="1" applyFill="1" applyBorder="1" applyAlignment="1">
      <alignment horizontal="center"/>
    </xf>
    <xf numFmtId="167" fontId="7" fillId="18" borderId="38" xfId="0" applyNumberFormat="1" applyFont="1" applyFill="1" applyBorder="1" applyAlignment="1">
      <alignment horizontal="center"/>
    </xf>
    <xf numFmtId="167" fontId="7" fillId="18" borderId="35" xfId="0" applyNumberFormat="1" applyFont="1" applyFill="1" applyBorder="1" applyAlignment="1">
      <alignment horizontal="center"/>
    </xf>
    <xf numFmtId="167" fontId="7" fillId="18" borderId="39" xfId="0" applyNumberFormat="1" applyFont="1" applyFill="1" applyBorder="1" applyAlignment="1">
      <alignment horizontal="center"/>
    </xf>
    <xf numFmtId="0" fontId="3" fillId="9" borderId="30" xfId="0" applyFont="1" applyFill="1" applyBorder="1" applyAlignment="1">
      <alignment horizontal="left"/>
    </xf>
    <xf numFmtId="0" fontId="3" fillId="9" borderId="31" xfId="0" applyFont="1" applyFill="1" applyBorder="1" applyAlignment="1">
      <alignment horizontal="left"/>
    </xf>
    <xf numFmtId="0" fontId="3" fillId="6" borderId="30" xfId="0" applyFont="1" applyFill="1" applyBorder="1" applyAlignment="1">
      <alignment horizontal="left"/>
    </xf>
    <xf numFmtId="0" fontId="3" fillId="6" borderId="31" xfId="0" applyFont="1" applyFill="1" applyBorder="1" applyAlignment="1">
      <alignment horizontal="left"/>
    </xf>
    <xf numFmtId="0" fontId="3" fillId="13" borderId="30" xfId="0" applyFont="1" applyFill="1" applyBorder="1" applyAlignment="1">
      <alignment horizontal="left"/>
    </xf>
    <xf numFmtId="0" fontId="3" fillId="13" borderId="31" xfId="0" applyFont="1" applyFill="1" applyBorder="1" applyAlignment="1">
      <alignment horizontal="left"/>
    </xf>
    <xf numFmtId="0" fontId="3" fillId="8" borderId="30" xfId="0" applyFont="1" applyFill="1" applyBorder="1" applyAlignment="1">
      <alignment horizontal="left"/>
    </xf>
    <xf numFmtId="0" fontId="3" fillId="8" borderId="31" xfId="0" applyFont="1" applyFill="1" applyBorder="1" applyAlignment="1">
      <alignment horizontal="left"/>
    </xf>
  </cellXfs>
  <cellStyles count="1">
    <cellStyle name="Normaali" xfId="0" builtinId="0"/>
  </cellStyles>
  <dxfs count="109"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color theme="0" tint="-0.249977111117893"/>
      </font>
      <fill>
        <patternFill patternType="solid">
          <bgColor theme="0" tint="-0.249977111117893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</dxfs>
  <tableStyles count="0" defaultTableStyle="TableStyleMedium9" defaultPivotStyle="PivotStyleLight16"/>
  <colors>
    <mruColors>
      <color rgb="FFC00000"/>
      <color rgb="FF000000"/>
      <color rgb="FFFF00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B1BE-439D-4577-BD1D-5EBFFF2A8D62}">
  <sheetPr>
    <tabColor rgb="FF00B050"/>
  </sheetPr>
  <dimension ref="A1:AB1675"/>
  <sheetViews>
    <sheetView showGridLines="0" showRowColHeaders="0" tabSelected="1" zoomScale="85" zoomScaleNormal="85" workbookViewId="0">
      <selection activeCell="Q15" sqref="Q15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280" t="s">
        <v>0</v>
      </c>
      <c r="B1" s="281"/>
      <c r="C1" s="281"/>
      <c r="D1" s="282"/>
      <c r="E1" s="43"/>
      <c r="F1" s="277" t="s">
        <v>1</v>
      </c>
      <c r="G1" s="278"/>
      <c r="H1" s="278"/>
      <c r="I1" s="279"/>
      <c r="J1" s="288"/>
      <c r="K1" s="251" t="s">
        <v>2</v>
      </c>
      <c r="L1" s="252"/>
      <c r="M1" s="252"/>
      <c r="N1" s="271"/>
      <c r="O1" s="257"/>
      <c r="P1" s="253" t="s">
        <v>3</v>
      </c>
      <c r="Q1" s="254"/>
      <c r="R1" s="254"/>
      <c r="S1" s="283"/>
      <c r="T1" s="257">
        <v>47</v>
      </c>
    </row>
    <row r="2" spans="1:28">
      <c r="A2" s="11" t="s">
        <v>4</v>
      </c>
      <c r="B2" s="6">
        <f>Q12</f>
        <v>5572</v>
      </c>
      <c r="C2" s="284"/>
      <c r="D2" s="285"/>
      <c r="E2" s="203"/>
      <c r="F2" s="11" t="s">
        <v>4</v>
      </c>
      <c r="G2" s="6">
        <f>Q13</f>
        <v>986</v>
      </c>
      <c r="H2" s="241"/>
      <c r="I2" s="242"/>
      <c r="J2" s="289"/>
      <c r="K2" s="6" t="s">
        <v>4</v>
      </c>
      <c r="L2" s="6">
        <f>Q14</f>
        <v>802</v>
      </c>
      <c r="M2" s="284"/>
      <c r="N2" s="285"/>
      <c r="O2" s="258"/>
      <c r="P2" s="6" t="s">
        <v>4</v>
      </c>
      <c r="Q2" s="6">
        <f>Q17</f>
        <v>104</v>
      </c>
      <c r="R2" s="284"/>
      <c r="S2" s="285"/>
      <c r="T2" s="258"/>
    </row>
    <row r="3" spans="1:28">
      <c r="A3" s="11" t="s">
        <v>5</v>
      </c>
      <c r="B3" s="6">
        <f>'Keräysteho kplh'!B2</f>
        <v>178</v>
      </c>
      <c r="C3" s="286"/>
      <c r="D3" s="287"/>
      <c r="E3" s="203"/>
      <c r="F3" s="11" t="s">
        <v>5</v>
      </c>
      <c r="G3" s="6">
        <f>'Keräysteho kplh'!B3</f>
        <v>73</v>
      </c>
      <c r="H3" s="243"/>
      <c r="I3" s="244"/>
      <c r="J3" s="289"/>
      <c r="K3" s="6" t="s">
        <v>5</v>
      </c>
      <c r="L3" s="6">
        <f>'Keräysteho kplh'!B4</f>
        <v>108</v>
      </c>
      <c r="M3" s="286"/>
      <c r="N3" s="287"/>
      <c r="O3" s="258"/>
      <c r="P3" s="6" t="s">
        <v>5</v>
      </c>
      <c r="Q3" s="6">
        <f>'Keräysteho kplh'!B7</f>
        <v>32</v>
      </c>
      <c r="R3" s="286"/>
      <c r="S3" s="287"/>
      <c r="T3" s="258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203"/>
      <c r="F4" s="11" t="s">
        <v>6</v>
      </c>
      <c r="G4" s="12" t="s">
        <v>7</v>
      </c>
      <c r="H4" s="11" t="s">
        <v>8</v>
      </c>
      <c r="I4" s="11" t="s">
        <v>9</v>
      </c>
      <c r="J4" s="289"/>
      <c r="K4" s="11" t="s">
        <v>6</v>
      </c>
      <c r="L4" s="12" t="s">
        <v>7</v>
      </c>
      <c r="M4" s="11" t="s">
        <v>8</v>
      </c>
      <c r="N4" s="11" t="s">
        <v>9</v>
      </c>
      <c r="O4" s="258"/>
      <c r="P4" s="47" t="s">
        <v>6</v>
      </c>
      <c r="Q4" s="80"/>
      <c r="R4" s="47" t="s">
        <v>8</v>
      </c>
      <c r="S4" s="47" t="s">
        <v>9</v>
      </c>
      <c r="T4" s="258"/>
    </row>
    <row r="5" spans="1:28">
      <c r="A5" s="66">
        <f ca="1">TODAY()+TIME(11,0,0)</f>
        <v>46315.458333333336</v>
      </c>
      <c r="B5" s="65">
        <v>0</v>
      </c>
      <c r="C5" s="73">
        <f ca="1">A5-D13</f>
        <v>6.2923148150730412E-2</v>
      </c>
      <c r="D5" s="9">
        <f ca="1">B5*C5</f>
        <v>0</v>
      </c>
      <c r="E5" s="203"/>
      <c r="F5" s="66">
        <f ca="1">TODAY()+TIME(11,0,0)</f>
        <v>46315.458333333336</v>
      </c>
      <c r="G5" s="65">
        <v>0</v>
      </c>
      <c r="H5" s="73">
        <f ca="1">F5-I13</f>
        <v>6.2923148150730412E-2</v>
      </c>
      <c r="I5" s="9">
        <f ca="1">G5*H5</f>
        <v>0</v>
      </c>
      <c r="J5" s="289"/>
      <c r="K5" s="66">
        <f ca="1">TODAY()+TIME(11,0,0)</f>
        <v>46315.458333333336</v>
      </c>
      <c r="L5" s="65">
        <v>0</v>
      </c>
      <c r="M5" s="73">
        <f ca="1">K5-N13</f>
        <v>6.2923148150730412E-2</v>
      </c>
      <c r="N5" s="9">
        <f ca="1">L5*M5</f>
        <v>0</v>
      </c>
      <c r="O5" s="258"/>
      <c r="P5" s="134">
        <f ca="1">S17</f>
        <v>46315.463118518521</v>
      </c>
      <c r="Q5" s="65">
        <v>2</v>
      </c>
      <c r="R5" s="135">
        <f ca="1">P5-L25</f>
        <v>6.7708333335758653E-2</v>
      </c>
      <c r="S5" s="126">
        <f ca="1">R5*Q5</f>
        <v>0.13541666667151731</v>
      </c>
      <c r="T5" s="258"/>
    </row>
    <row r="6" spans="1:28">
      <c r="A6" s="66">
        <f ca="1">TODAY()+TIME(12,0,0)</f>
        <v>46315.5</v>
      </c>
      <c r="B6" s="65">
        <v>3</v>
      </c>
      <c r="C6" s="73">
        <f ca="1">A6-D13</f>
        <v>0.10458981481497176</v>
      </c>
      <c r="D6" s="9">
        <f ca="1">B6*C6</f>
        <v>0.31376944444491528</v>
      </c>
      <c r="E6" s="203"/>
      <c r="F6" s="66">
        <f ca="1">TODAY()+TIME(12,0,0)</f>
        <v>46315.5</v>
      </c>
      <c r="G6" s="65">
        <v>9</v>
      </c>
      <c r="H6" s="73">
        <f ca="1">F6-I13</f>
        <v>0.10458981481497176</v>
      </c>
      <c r="I6" s="9">
        <f ca="1">G6*H6</f>
        <v>0.94130833333474584</v>
      </c>
      <c r="J6" s="289"/>
      <c r="K6" s="66">
        <f ca="1">TODAY()+TIME(12,0,0)</f>
        <v>46315.5</v>
      </c>
      <c r="L6" s="65">
        <v>1</v>
      </c>
      <c r="M6" s="73">
        <f ca="1">K6-N13</f>
        <v>0.10458981481497176</v>
      </c>
      <c r="N6" s="9">
        <f ca="1">L6*M6</f>
        <v>0.10458981481497176</v>
      </c>
      <c r="O6" s="258"/>
      <c r="P6" s="11" t="s">
        <v>10</v>
      </c>
      <c r="Q6" s="9">
        <f ca="1">S5</f>
        <v>0.13541666667151731</v>
      </c>
      <c r="R6" s="11" t="s">
        <v>11</v>
      </c>
      <c r="S6" s="6">
        <f>Q5</f>
        <v>2</v>
      </c>
      <c r="T6" s="258"/>
    </row>
    <row r="7" spans="1:28">
      <c r="A7" s="66">
        <f ca="1">TODAY()+TIME(13,0,0)</f>
        <v>46315.541666666664</v>
      </c>
      <c r="B7" s="65">
        <v>4</v>
      </c>
      <c r="C7" s="73">
        <f ca="1">A7-D13</f>
        <v>0.14625648147921311</v>
      </c>
      <c r="D7" s="9">
        <f ca="1">B7*C7</f>
        <v>0.58502592591685243</v>
      </c>
      <c r="E7" s="203"/>
      <c r="F7" s="66">
        <f ca="1">TODAY()+TIME(13,0,0)</f>
        <v>46315.541666666664</v>
      </c>
      <c r="G7" s="65">
        <v>1</v>
      </c>
      <c r="H7" s="73">
        <f ca="1">F7-I13</f>
        <v>0.14625648147921311</v>
      </c>
      <c r="I7" s="9">
        <f ca="1">G7*H7</f>
        <v>0.14625648147921311</v>
      </c>
      <c r="J7" s="289"/>
      <c r="K7" s="66">
        <f ca="1">TODAY()+TIME(13,0,0)</f>
        <v>46315.541666666664</v>
      </c>
      <c r="L7" s="65">
        <v>2</v>
      </c>
      <c r="M7" s="73">
        <f ca="1">K7-N13</f>
        <v>0.14625648147921311</v>
      </c>
      <c r="N7" s="9">
        <f ca="1">L7*M7</f>
        <v>0.29251296295842621</v>
      </c>
      <c r="O7" s="258"/>
      <c r="P7" s="11" t="s">
        <v>12</v>
      </c>
      <c r="Q7" s="10">
        <f>Q2/(Q5)</f>
        <v>52</v>
      </c>
      <c r="R7" s="284"/>
      <c r="S7" s="285"/>
      <c r="T7" s="258"/>
    </row>
    <row r="8" spans="1:28">
      <c r="A8" s="66">
        <f ca="1">TODAY()+TIME(14,0,0)</f>
        <v>46315.583333333336</v>
      </c>
      <c r="B8" s="65">
        <v>2</v>
      </c>
      <c r="C8" s="73">
        <f ca="1">A8-D13</f>
        <v>0.18792314815073041</v>
      </c>
      <c r="D8" s="9">
        <f ca="1">B8*C8</f>
        <v>0.37584629630146082</v>
      </c>
      <c r="E8" s="203"/>
      <c r="F8" s="66">
        <f ca="1">TODAY()+TIME(14,0,0)</f>
        <v>46315.583333333336</v>
      </c>
      <c r="G8" s="65">
        <v>1</v>
      </c>
      <c r="H8" s="73">
        <f ca="1">F8-I13</f>
        <v>0.18792314815073041</v>
      </c>
      <c r="I8" s="9">
        <f ca="1">G8*H8</f>
        <v>0.18792314815073041</v>
      </c>
      <c r="J8" s="289"/>
      <c r="K8" s="66">
        <f ca="1">TODAY()+TIME(14,0,0)</f>
        <v>46315.583333333336</v>
      </c>
      <c r="L8" s="65">
        <v>0</v>
      </c>
      <c r="M8" s="73">
        <f ca="1">K8-N13</f>
        <v>0.18792314815073041</v>
      </c>
      <c r="N8" s="9">
        <f ca="1">L8*M8</f>
        <v>0</v>
      </c>
      <c r="O8" s="258"/>
      <c r="P8" s="11" t="s">
        <v>13</v>
      </c>
      <c r="Q8" s="9">
        <f>Q2/(Q3*(Q5))/24</f>
        <v>6.7708333333333329E-2</v>
      </c>
      <c r="R8" s="308"/>
      <c r="S8" s="309"/>
      <c r="T8" s="258"/>
    </row>
    <row r="9" spans="1:28">
      <c r="A9" s="66">
        <f ca="1">TODAY()+TIME(15,0,0)</f>
        <v>46315.625</v>
      </c>
      <c r="B9" s="65">
        <v>0</v>
      </c>
      <c r="C9" s="73">
        <f ca="1">A9-D13</f>
        <v>0.22958981481497176</v>
      </c>
      <c r="D9" s="9">
        <f ca="1">B9*C9</f>
        <v>0</v>
      </c>
      <c r="E9" s="203"/>
      <c r="F9" s="66">
        <f ca="1">TODAY()+TIME(15,0,0)</f>
        <v>46315.625</v>
      </c>
      <c r="G9" s="65">
        <v>0</v>
      </c>
      <c r="H9" s="73">
        <f ca="1">F9-I13</f>
        <v>0.22958981481497176</v>
      </c>
      <c r="I9" s="9">
        <f ca="1">G9*H9</f>
        <v>0</v>
      </c>
      <c r="J9" s="289"/>
      <c r="K9" s="66">
        <f ca="1">TODAY()+TIME(15,0,0)</f>
        <v>46315.625</v>
      </c>
      <c r="L9" s="65">
        <v>0</v>
      </c>
      <c r="M9" s="73">
        <f ca="1">K9-N13</f>
        <v>0.22958981481497176</v>
      </c>
      <c r="N9" s="9">
        <f ca="1">L9*M9</f>
        <v>0</v>
      </c>
      <c r="O9" s="258"/>
      <c r="P9" s="11" t="s">
        <v>14</v>
      </c>
      <c r="Q9" s="8">
        <f ca="1">IFERROR(L25+Q8+IF(Q2&gt;=400,TIME(0,24,0),0),"")</f>
        <v>46315.463118518521</v>
      </c>
      <c r="R9" s="286"/>
      <c r="S9" s="287"/>
      <c r="T9" s="258"/>
    </row>
    <row r="10" spans="1:28">
      <c r="A10" s="11" t="s">
        <v>10</v>
      </c>
      <c r="B10" s="9">
        <f ca="1">D5+D6+D7+D8+D9</f>
        <v>1.2746416666632285</v>
      </c>
      <c r="C10" s="11" t="s">
        <v>11</v>
      </c>
      <c r="D10" s="6">
        <f>B9+B8+B7+B6+B5</f>
        <v>9</v>
      </c>
      <c r="E10" s="203"/>
      <c r="F10" s="11" t="s">
        <v>10</v>
      </c>
      <c r="G10" s="9">
        <f ca="1">I5+I6+I7+I8+I9</f>
        <v>1.2754879629646894</v>
      </c>
      <c r="H10" s="11" t="s">
        <v>11</v>
      </c>
      <c r="I10" s="6">
        <f>G9+G8+G7+G6+G5</f>
        <v>11</v>
      </c>
      <c r="J10" s="289"/>
      <c r="K10" s="11" t="s">
        <v>10</v>
      </c>
      <c r="L10" s="9">
        <f ca="1">N9+N8+N7+N6+N5</f>
        <v>0.39710277777339797</v>
      </c>
      <c r="M10" s="47" t="s">
        <v>11</v>
      </c>
      <c r="N10" s="232">
        <f>L9+L8+L7+L6+L5</f>
        <v>3</v>
      </c>
      <c r="O10" s="258"/>
      <c r="P10" s="265"/>
      <c r="Q10" s="265"/>
      <c r="R10" s="265"/>
      <c r="S10" s="270"/>
      <c r="T10" s="258"/>
    </row>
    <row r="11" spans="1:28">
      <c r="A11" s="11" t="s">
        <v>12</v>
      </c>
      <c r="B11" s="10">
        <f>B2/(B6+B7+B8+B9)</f>
        <v>619.11111111111109</v>
      </c>
      <c r="C11" s="136"/>
      <c r="D11" s="138"/>
      <c r="E11" s="203"/>
      <c r="F11" s="11" t="s">
        <v>12</v>
      </c>
      <c r="G11" s="10">
        <f>G2/(G6+G7+G8+G9)</f>
        <v>89.63636363636364</v>
      </c>
      <c r="H11" s="136"/>
      <c r="I11" s="138"/>
      <c r="J11" s="289"/>
      <c r="K11" s="11" t="s">
        <v>12</v>
      </c>
      <c r="L11" s="230">
        <f>L2/(L6+L7+L8+L9)</f>
        <v>267.33333333333331</v>
      </c>
      <c r="M11" s="235"/>
      <c r="N11" s="236"/>
      <c r="O11" s="258"/>
      <c r="P11" s="121" t="s">
        <v>15</v>
      </c>
      <c r="Q11" s="122"/>
      <c r="R11" s="272" t="s">
        <v>16</v>
      </c>
      <c r="S11" s="273"/>
      <c r="T11" s="258"/>
    </row>
    <row r="12" spans="1:28">
      <c r="A12" s="11" t="s">
        <v>13</v>
      </c>
      <c r="B12" s="9">
        <f>B2/(B3*(B6+B7+B8+B9+B5))/24</f>
        <v>0.14492301290054099</v>
      </c>
      <c r="C12" s="137"/>
      <c r="D12" s="139"/>
      <c r="E12" s="203"/>
      <c r="F12" s="11" t="s">
        <v>13</v>
      </c>
      <c r="G12" s="9">
        <f>G2/(G3*(G6+G7+G8+G9+G5))/24</f>
        <v>5.1162308011623081E-2</v>
      </c>
      <c r="H12" s="137"/>
      <c r="I12" s="139"/>
      <c r="J12" s="289"/>
      <c r="K12" s="11" t="s">
        <v>13</v>
      </c>
      <c r="L12" s="231">
        <f>L2/(L3*(L6+L7+L8+L9+L5))/24</f>
        <v>0.10313786008230452</v>
      </c>
      <c r="M12" s="237"/>
      <c r="N12" s="238"/>
      <c r="O12" s="258"/>
      <c r="P12" s="67" t="s">
        <v>0</v>
      </c>
      <c r="Q12" s="65">
        <v>5572</v>
      </c>
      <c r="R12" s="58" t="s">
        <v>0</v>
      </c>
      <c r="S12" s="20">
        <f ca="1">B13</f>
        <v>46315.556999864755</v>
      </c>
      <c r="T12" s="258"/>
      <c r="U12" s="186"/>
    </row>
    <row r="13" spans="1:28">
      <c r="A13" s="11" t="s">
        <v>14</v>
      </c>
      <c r="B13" s="8">
        <f ca="1">IFERROR(D13+B12+IF(B2&gt;=3000,TIME(0,24,0),0),"")</f>
        <v>46315.556999864755</v>
      </c>
      <c r="C13" s="11" t="s">
        <v>17</v>
      </c>
      <c r="D13" s="8">
        <f ca="1">NOW()</f>
        <v>46315.395410185185</v>
      </c>
      <c r="E13" s="203"/>
      <c r="F13" s="11" t="s">
        <v>14</v>
      </c>
      <c r="G13" s="8">
        <f ca="1">IFERROR(I13+G12+IF(G2&gt;=1500,TIME(0,24,0),0),"")</f>
        <v>46315.446572493194</v>
      </c>
      <c r="H13" s="11" t="s">
        <v>17</v>
      </c>
      <c r="I13" s="8">
        <f ca="1">NOW()</f>
        <v>46315.395410185185</v>
      </c>
      <c r="J13" s="289"/>
      <c r="K13" s="11" t="s">
        <v>14</v>
      </c>
      <c r="L13" s="8">
        <f ca="1">IFERROR(N13+L12+IF(L2&gt;=400,TIME(0,24,0),0),"")</f>
        <v>46315.515214711937</v>
      </c>
      <c r="M13" s="233" t="s">
        <v>17</v>
      </c>
      <c r="N13" s="234">
        <f ca="1">NOW()</f>
        <v>46315.395410185185</v>
      </c>
      <c r="O13" s="258"/>
      <c r="P13" s="68" t="s">
        <v>1</v>
      </c>
      <c r="Q13" s="65">
        <v>986</v>
      </c>
      <c r="R13" s="59" t="s">
        <v>1</v>
      </c>
      <c r="S13" s="20">
        <f ca="1">G13</f>
        <v>46315.446572493194</v>
      </c>
      <c r="T13" s="258"/>
    </row>
    <row r="14" spans="1:28">
      <c r="A14" s="290"/>
      <c r="B14" s="291"/>
      <c r="C14" s="291"/>
      <c r="D14" s="292"/>
      <c r="E14" s="203"/>
      <c r="F14" s="264"/>
      <c r="G14" s="265"/>
      <c r="H14" s="265"/>
      <c r="I14" s="270"/>
      <c r="J14" s="289"/>
      <c r="K14" s="264"/>
      <c r="L14" s="265"/>
      <c r="M14" s="265"/>
      <c r="N14" s="265"/>
      <c r="O14" s="258"/>
      <c r="P14" s="69" t="s">
        <v>2</v>
      </c>
      <c r="Q14" s="65">
        <v>802</v>
      </c>
      <c r="R14" s="60" t="s">
        <v>2</v>
      </c>
      <c r="S14" s="20">
        <f ca="1">L13</f>
        <v>46315.515214711937</v>
      </c>
      <c r="T14" s="258"/>
    </row>
    <row r="15" spans="1:28">
      <c r="A15" s="245" t="s">
        <v>18</v>
      </c>
      <c r="B15" s="246"/>
      <c r="C15" s="246"/>
      <c r="D15" s="247"/>
      <c r="F15" s="248" t="s">
        <v>19</v>
      </c>
      <c r="G15" s="249"/>
      <c r="H15" s="249"/>
      <c r="I15" s="250"/>
      <c r="J15" s="289"/>
      <c r="K15" s="86" t="s">
        <v>20</v>
      </c>
      <c r="L15" s="87">
        <f ca="1">N29-N28-(L17/24)</f>
        <v>-1.8678225937211186</v>
      </c>
      <c r="M15" s="86" t="s">
        <v>21</v>
      </c>
      <c r="N15" s="88">
        <f ca="1">N16+(L16*L17)</f>
        <v>17150.538799964532</v>
      </c>
      <c r="O15" s="258"/>
      <c r="P15" s="70" t="s">
        <v>18</v>
      </c>
      <c r="Q15" s="65">
        <v>254</v>
      </c>
      <c r="R15" s="61" t="s">
        <v>18</v>
      </c>
      <c r="S15" s="20">
        <f ca="1">B27</f>
        <v>46315.403267151283</v>
      </c>
      <c r="T15" s="258"/>
      <c r="AB15">
        <f ca="1">IFERROR(((N17-N16)/L16)/24,0)+IF(AA26&lt;0,-AA26,0)</f>
        <v>-1.8678225937211188</v>
      </c>
    </row>
    <row r="16" spans="1:28">
      <c r="A16" s="11" t="s">
        <v>4</v>
      </c>
      <c r="B16" s="6">
        <f>Q15</f>
        <v>254</v>
      </c>
      <c r="C16" s="136"/>
      <c r="D16" s="138"/>
      <c r="F16" s="11" t="s">
        <v>4</v>
      </c>
      <c r="G16" s="6">
        <f>Q16</f>
        <v>1021</v>
      </c>
      <c r="H16" s="136"/>
      <c r="I16" s="138"/>
      <c r="J16" s="289"/>
      <c r="K16" s="12" t="s">
        <v>22</v>
      </c>
      <c r="L16" s="90">
        <f ca="1">(B3*B10+G3*G10+L3*L10+B17*B24+G17*G24)/
(B10+G10+L10+B24+G24)</f>
        <v>189.96135813857998</v>
      </c>
      <c r="M16" s="86" t="s">
        <v>23</v>
      </c>
      <c r="N16" s="89">
        <f ca="1">L16*N28*24</f>
        <v>17150.538799964532</v>
      </c>
      <c r="O16" s="258"/>
      <c r="P16" s="71" t="s">
        <v>19</v>
      </c>
      <c r="Q16" s="65">
        <v>1021</v>
      </c>
      <c r="R16" s="71" t="s">
        <v>19</v>
      </c>
      <c r="S16" s="20">
        <f ca="1">G27</f>
        <v>46315.448454657337</v>
      </c>
      <c r="T16" s="258"/>
    </row>
    <row r="17" spans="1:27">
      <c r="A17" s="11" t="s">
        <v>5</v>
      </c>
      <c r="B17" s="6">
        <f>'Keräysteho kplh'!B5</f>
        <v>449</v>
      </c>
      <c r="C17" s="137"/>
      <c r="D17" s="139"/>
      <c r="F17" s="11" t="s">
        <v>5</v>
      </c>
      <c r="G17" s="6">
        <f>'Keräysteho kplh'!B6</f>
        <v>401</v>
      </c>
      <c r="H17" s="137"/>
      <c r="I17" s="139"/>
      <c r="J17" s="289"/>
      <c r="K17" s="175" t="s">
        <v>24</v>
      </c>
      <c r="L17" s="222">
        <v>0</v>
      </c>
      <c r="M17" s="12" t="s">
        <v>25</v>
      </c>
      <c r="N17" s="13">
        <f>B2+G2+L2+B16+G16</f>
        <v>8635</v>
      </c>
      <c r="O17" s="258"/>
      <c r="P17" s="72" t="s">
        <v>3</v>
      </c>
      <c r="Q17" s="65">
        <v>104</v>
      </c>
      <c r="R17" s="63" t="s">
        <v>3</v>
      </c>
      <c r="S17" s="8">
        <f ca="1">Q9</f>
        <v>46315.463118518521</v>
      </c>
      <c r="T17" s="258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F18" s="11" t="s">
        <v>6</v>
      </c>
      <c r="G18" s="12" t="s">
        <v>7</v>
      </c>
      <c r="H18" s="11" t="s">
        <v>8</v>
      </c>
      <c r="I18" s="11" t="s">
        <v>9</v>
      </c>
      <c r="J18" s="289"/>
      <c r="K18" s="209" t="s">
        <v>26</v>
      </c>
      <c r="L18" s="210">
        <f>L26*24/1440</f>
        <v>0.46666666666666667</v>
      </c>
      <c r="M18" s="211" t="s">
        <v>27</v>
      </c>
      <c r="N18" s="211">
        <f>B2+G2+L2+Q2+B16+G16</f>
        <v>8739</v>
      </c>
      <c r="O18" s="258"/>
      <c r="P18" s="46" t="s">
        <v>28</v>
      </c>
      <c r="Q18" s="82">
        <f>Q12+Q13+Q14+Q15+Q16+Q17</f>
        <v>8739</v>
      </c>
      <c r="R18" s="33" t="s">
        <v>28</v>
      </c>
      <c r="S18" s="8">
        <f ca="1">L28</f>
        <v>46315.556999864755</v>
      </c>
      <c r="T18" s="258"/>
      <c r="U18" s="115"/>
      <c r="V18" s="116"/>
    </row>
    <row r="19" spans="1:27">
      <c r="A19" s="66">
        <f ca="1">TODAY()+TIME(11,0,0)</f>
        <v>46315.458333333336</v>
      </c>
      <c r="B19" s="65">
        <v>0</v>
      </c>
      <c r="C19" s="73">
        <f ca="1">A19-D27</f>
        <v>6.2923148150730412E-2</v>
      </c>
      <c r="D19" s="9">
        <f ca="1">B19*C19</f>
        <v>0</v>
      </c>
      <c r="F19" s="66">
        <f ca="1">TODAY()+TIME(11,0,0)</f>
        <v>46315.458333333336</v>
      </c>
      <c r="G19" s="65">
        <v>0</v>
      </c>
      <c r="H19" s="73">
        <f ca="1">F19-I27</f>
        <v>6.2923148150730412E-2</v>
      </c>
      <c r="I19" s="9">
        <f ca="1">G19*H19</f>
        <v>0</v>
      </c>
      <c r="J19" s="289"/>
      <c r="K19" s="206" t="s">
        <v>6</v>
      </c>
      <c r="L19" s="206" t="s">
        <v>29</v>
      </c>
      <c r="M19" s="207" t="s">
        <v>30</v>
      </c>
      <c r="N19" s="208">
        <f ca="1">(B3*B10+G3*G10+L3*L10+Q3*Q6+B17*B24+G17*G24)/
(B10+G10+L10+Q6+B24+G24)</f>
        <v>184.47273942816156</v>
      </c>
      <c r="O19" s="258"/>
      <c r="P19" s="268"/>
      <c r="Q19" s="268"/>
      <c r="R19" s="268"/>
      <c r="S19" s="269"/>
      <c r="T19" s="258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0.10458981481497176</v>
      </c>
      <c r="D20" s="9">
        <f ca="1">B20*C20</f>
        <v>0</v>
      </c>
      <c r="F20" s="66">
        <f ca="1">TODAY()+TIME(12,0,0)</f>
        <v>46315.5</v>
      </c>
      <c r="G20" s="65">
        <v>0</v>
      </c>
      <c r="H20" s="73">
        <f ca="1">F20-I27</f>
        <v>0.10458981481497176</v>
      </c>
      <c r="I20" s="9">
        <f ca="1">G20*H20</f>
        <v>0</v>
      </c>
      <c r="J20" s="289"/>
      <c r="K20" s="212">
        <f ca="1">TODAY()+TIME(11,0,0)</f>
        <v>46315.458333333336</v>
      </c>
      <c r="L20" s="213">
        <f>G19+B19+B5+G5+L5</f>
        <v>0</v>
      </c>
      <c r="M20" s="214">
        <f ca="1">K20-L25</f>
        <v>6.2923148150730412E-2</v>
      </c>
      <c r="N20" s="215">
        <f ca="1">L20*M20</f>
        <v>0</v>
      </c>
      <c r="O20" s="258"/>
      <c r="P20" s="260" t="s">
        <v>31</v>
      </c>
      <c r="Q20" s="261"/>
      <c r="R20" s="260" t="s">
        <v>32</v>
      </c>
      <c r="S20" s="261"/>
      <c r="T20" s="258"/>
      <c r="U20" s="115"/>
      <c r="V20" s="117"/>
      <c r="X20" s="114"/>
    </row>
    <row r="21" spans="1:27">
      <c r="A21" s="66">
        <f ca="1">TODAY()+TIME(13,0,0)</f>
        <v>46315.541666666664</v>
      </c>
      <c r="B21" s="65">
        <v>1</v>
      </c>
      <c r="C21" s="73">
        <f ca="1">A21-D27</f>
        <v>0.14625648147921311</v>
      </c>
      <c r="D21" s="9">
        <f ca="1">B21*C21</f>
        <v>0.14625648147921311</v>
      </c>
      <c r="F21" s="66">
        <f ca="1">TODAY()+TIME(13,0,0)</f>
        <v>46315.541666666664</v>
      </c>
      <c r="G21" s="65">
        <v>2</v>
      </c>
      <c r="H21" s="73">
        <f ca="1">F21-I27</f>
        <v>0.14625648147921311</v>
      </c>
      <c r="I21" s="9">
        <f ca="1">G21*H21</f>
        <v>0.29251296295842621</v>
      </c>
      <c r="J21" s="289"/>
      <c r="K21" s="14">
        <f ca="1">TODAY()+TIME(12,0,0)</f>
        <v>46315.5</v>
      </c>
      <c r="L21" s="13">
        <f>G20+B20+B6+G6+L6</f>
        <v>13</v>
      </c>
      <c r="M21" s="15">
        <f ca="1">K21-L25</f>
        <v>0.10458981481497176</v>
      </c>
      <c r="N21" s="54">
        <f ca="1">L21*M21</f>
        <v>1.3596675925946329</v>
      </c>
      <c r="O21" s="258"/>
      <c r="P21" s="191" t="s">
        <v>33</v>
      </c>
      <c r="Q21" s="65">
        <v>0</v>
      </c>
      <c r="R21" s="192" t="s">
        <v>34</v>
      </c>
      <c r="S21" s="187">
        <f>Q21/25</f>
        <v>0</v>
      </c>
      <c r="T21" s="258"/>
      <c r="U21" s="115"/>
      <c r="V21" s="117"/>
      <c r="X21" s="114"/>
    </row>
    <row r="22" spans="1:27">
      <c r="A22" s="66">
        <f ca="1">TODAY()+TIME(14,0,0)</f>
        <v>46315.583333333336</v>
      </c>
      <c r="B22" s="65">
        <v>2</v>
      </c>
      <c r="C22" s="73">
        <f ca="1">A22-D27</f>
        <v>0.18792314815073041</v>
      </c>
      <c r="D22" s="9">
        <f ca="1">B22*C22</f>
        <v>0.37584629630146082</v>
      </c>
      <c r="F22" s="66">
        <f ca="1">TODAY()+TIME(14,0,0)</f>
        <v>46315.583333333336</v>
      </c>
      <c r="G22" s="65">
        <v>0</v>
      </c>
      <c r="H22" s="73">
        <f ca="1">F22-I27</f>
        <v>0.18792314815073041</v>
      </c>
      <c r="I22" s="9">
        <f ca="1">G22*H22</f>
        <v>0</v>
      </c>
      <c r="J22" s="289"/>
      <c r="K22" s="14">
        <f ca="1">TODAY()+TIME(13,0,0)</f>
        <v>46315.541666666664</v>
      </c>
      <c r="L22" s="13">
        <f>G21+B21+B7+G7+L7</f>
        <v>10</v>
      </c>
      <c r="M22" s="15">
        <f ca="1">K22-L25</f>
        <v>0.14625648147921311</v>
      </c>
      <c r="N22" s="54">
        <f ca="1">L22*M22</f>
        <v>1.4625648147921311</v>
      </c>
      <c r="O22" s="258"/>
      <c r="P22" s="181" t="s">
        <v>0</v>
      </c>
      <c r="Q22" s="65">
        <v>0</v>
      </c>
      <c r="R22" s="193" t="s">
        <v>34</v>
      </c>
      <c r="S22" s="194">
        <f>B32</f>
        <v>0</v>
      </c>
      <c r="T22" s="258"/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0.22958981481497176</v>
      </c>
      <c r="D23" s="9">
        <f ca="1">B23*C23</f>
        <v>0</v>
      </c>
      <c r="F23" s="66">
        <f ca="1">TODAY()+TIME(15,0,0)</f>
        <v>46315.625</v>
      </c>
      <c r="G23" s="65">
        <v>0</v>
      </c>
      <c r="H23" s="92">
        <f ca="1">F23-I27</f>
        <v>0.22958981481497176</v>
      </c>
      <c r="I23" s="9">
        <f ca="1">G23*H23</f>
        <v>0</v>
      </c>
      <c r="J23" s="289"/>
      <c r="K23" s="50">
        <f ca="1">TODAY()+TIME(14,0,0)</f>
        <v>46315.583333333336</v>
      </c>
      <c r="L23" s="211">
        <f>G22+B22+B8+G8+L8</f>
        <v>5</v>
      </c>
      <c r="M23" s="127">
        <f ca="1">K23-L25</f>
        <v>0.18792314815073041</v>
      </c>
      <c r="N23" s="128">
        <f ca="1">L23*M23</f>
        <v>0.93961574075365206</v>
      </c>
      <c r="O23" s="258"/>
      <c r="P23" s="182" t="s">
        <v>1</v>
      </c>
      <c r="Q23" s="65">
        <v>0</v>
      </c>
      <c r="R23" s="195" t="s">
        <v>34</v>
      </c>
      <c r="S23" s="194">
        <f>G32</f>
        <v>0</v>
      </c>
      <c r="T23" s="258"/>
      <c r="U23" s="115"/>
      <c r="V23" s="117"/>
      <c r="X23" s="114"/>
    </row>
    <row r="24" spans="1:27">
      <c r="A24" s="11" t="s">
        <v>10</v>
      </c>
      <c r="B24" s="9">
        <f ca="1">D23+D22+D21+D20+D19</f>
        <v>0.52210277778067393</v>
      </c>
      <c r="C24" s="11" t="s">
        <v>11</v>
      </c>
      <c r="D24" s="6">
        <f>B23+B22+B21+B20+B19</f>
        <v>3</v>
      </c>
      <c r="F24" s="11" t="s">
        <v>10</v>
      </c>
      <c r="G24" s="9">
        <f ca="1">I23+I22+I21+I20+I19</f>
        <v>0.29251296295842621</v>
      </c>
      <c r="H24" s="11" t="s">
        <v>11</v>
      </c>
      <c r="I24" s="6">
        <f>G23+G22+G21+G20+G19</f>
        <v>2</v>
      </c>
      <c r="J24" s="289"/>
      <c r="K24" s="216">
        <f ca="1">TODAY()+TIME(15,0,0)</f>
        <v>46315.625</v>
      </c>
      <c r="L24" s="217">
        <f>G23+B23+B9+G9+L9</f>
        <v>0</v>
      </c>
      <c r="M24" s="218">
        <f ca="1">K24-L25</f>
        <v>0.22958981481497176</v>
      </c>
      <c r="N24" s="219">
        <f ca="1">L24*M24</f>
        <v>0</v>
      </c>
      <c r="O24" s="258"/>
      <c r="P24" s="183" t="s">
        <v>2</v>
      </c>
      <c r="Q24" s="65">
        <v>0</v>
      </c>
      <c r="R24" s="196" t="s">
        <v>35</v>
      </c>
      <c r="S24" s="194" t="s">
        <v>36</v>
      </c>
      <c r="T24" s="258"/>
      <c r="U24" s="115"/>
      <c r="V24" s="118"/>
      <c r="X24" s="114"/>
    </row>
    <row r="25" spans="1:27">
      <c r="A25" s="11" t="s">
        <v>12</v>
      </c>
      <c r="B25" s="10">
        <f>B16/(B20+B21+B22+B23)</f>
        <v>84.666666666666671</v>
      </c>
      <c r="C25" s="136"/>
      <c r="D25" s="138"/>
      <c r="F25" s="11" t="s">
        <v>12</v>
      </c>
      <c r="G25" s="10">
        <f>G16/(G20+G21+G22+G23)</f>
        <v>510.5</v>
      </c>
      <c r="H25" s="136"/>
      <c r="I25" s="138"/>
      <c r="J25" s="289"/>
      <c r="K25" s="176" t="s">
        <v>17</v>
      </c>
      <c r="L25" s="212">
        <f ca="1">NOW()</f>
        <v>46315.395410185185</v>
      </c>
      <c r="M25" s="220" t="s">
        <v>37</v>
      </c>
      <c r="N25" s="221" t="str">
        <f ca="1">IF(AA25&lt;0,"-","")&amp;INT(ROUND(ABS(AA25)*1440,0)/60)&amp;":"&amp;TEXT(MOD(ROUND(ABS(AA25)*1440,0),60),"00")</f>
        <v>34:56</v>
      </c>
      <c r="O25" s="258"/>
      <c r="P25" s="185" t="s">
        <v>18</v>
      </c>
      <c r="Q25" s="65">
        <v>0</v>
      </c>
      <c r="R25" s="197" t="s">
        <v>38</v>
      </c>
      <c r="S25" s="194">
        <f>B38</f>
        <v>0</v>
      </c>
      <c r="T25" s="258"/>
      <c r="U25" s="119"/>
      <c r="V25" s="118"/>
      <c r="AA25">
        <f ca="1">N28-IFERROR((B2/B3+G2/G3+L2/L3+B16/B17+G16/G17)/24,0)+L17/24</f>
        <v>1.4556822210623763</v>
      </c>
    </row>
    <row r="26" spans="1:27">
      <c r="A26" s="11" t="s">
        <v>13</v>
      </c>
      <c r="B26" s="9">
        <f>B16/(B17*(B20+B21+B22+B23+B19))/24</f>
        <v>7.8569660975006186E-3</v>
      </c>
      <c r="C26" s="137"/>
      <c r="D26" s="139"/>
      <c r="F26" s="11" t="s">
        <v>13</v>
      </c>
      <c r="G26" s="9">
        <f>G16/(G17*(G20+G21+G22+G23+G19))/24</f>
        <v>5.304447215295096E-2</v>
      </c>
      <c r="H26" s="137"/>
      <c r="I26" s="139"/>
      <c r="J26" s="289"/>
      <c r="K26" s="12" t="s">
        <v>11</v>
      </c>
      <c r="L26" s="205">
        <f>L24+L23+L22+L21+L20</f>
        <v>28</v>
      </c>
      <c r="M26" s="204" t="s">
        <v>39</v>
      </c>
      <c r="N26" s="228" t="str">
        <f ca="1">IF(AA26&lt;0,"-","")&amp;INT(ROUND(ABS(AA26)*1440,0)/60)&amp;":"&amp;TEXT(MOD(ROUND(ABS(AA26)*1440,0),60),"00")</f>
        <v>23:44</v>
      </c>
      <c r="O26" s="258"/>
      <c r="P26" s="184" t="s">
        <v>19</v>
      </c>
      <c r="Q26" s="65">
        <v>0</v>
      </c>
      <c r="R26" s="198" t="s">
        <v>38</v>
      </c>
      <c r="S26" s="194">
        <f>D38</f>
        <v>0</v>
      </c>
      <c r="T26" s="258"/>
      <c r="AA26">
        <f ca="1">AA25-L18</f>
        <v>0.98901555439570965</v>
      </c>
    </row>
    <row r="27" spans="1:27">
      <c r="A27" s="47" t="s">
        <v>14</v>
      </c>
      <c r="B27" s="48">
        <f ca="1">IFERROR(D27+B26+IF(B16&gt;=5000,TIME(0,24,0),0),"")</f>
        <v>46315.403267151283</v>
      </c>
      <c r="C27" s="11" t="s">
        <v>17</v>
      </c>
      <c r="D27" s="8">
        <f ca="1">NOW()</f>
        <v>46315.395410185185</v>
      </c>
      <c r="F27" s="47" t="s">
        <v>14</v>
      </c>
      <c r="G27" s="48">
        <f ca="1">IFERROR(I27+G26+IF(G16&gt;=5000,TIME(0,24,0),0),"")</f>
        <v>46315.448454657337</v>
      </c>
      <c r="H27" s="11" t="s">
        <v>17</v>
      </c>
      <c r="I27" s="8">
        <f ca="1">NOW()</f>
        <v>46315.395410185185</v>
      </c>
      <c r="J27" s="289"/>
      <c r="K27" s="12" t="s">
        <v>12</v>
      </c>
      <c r="L27" s="16">
        <f>N17/(L21+L22+L23+L24)</f>
        <v>308.39285714285717</v>
      </c>
      <c r="M27" s="204" t="s">
        <v>40</v>
      </c>
      <c r="N27" s="227">
        <f ca="1">ABS(AA26+AA25)/2</f>
        <v>1.2223488877290429</v>
      </c>
      <c r="O27" s="258"/>
      <c r="P27" s="180" t="s">
        <v>3</v>
      </c>
      <c r="Q27" s="65">
        <v>0</v>
      </c>
      <c r="R27" s="199" t="s">
        <v>34</v>
      </c>
      <c r="S27" s="194">
        <f>L39</f>
        <v>0</v>
      </c>
      <c r="T27" s="258"/>
    </row>
    <row r="28" spans="1:27">
      <c r="A28" s="274"/>
      <c r="B28" s="274"/>
      <c r="C28" s="274"/>
      <c r="D28" s="274"/>
      <c r="F28" s="274"/>
      <c r="G28" s="274"/>
      <c r="H28" s="274"/>
      <c r="I28" s="275"/>
      <c r="J28" s="289"/>
      <c r="K28" s="49" t="s">
        <v>14</v>
      </c>
      <c r="L28" s="50">
        <f ca="1">MAX(IFERROR(B27*1,0),IFERROR(G27*1,0),IFERROR(L13*1,0),IFERROR(G13*1,0),IFERROR(B13*1,0),IFERROR(Q9*1,0))</f>
        <v>46315.556999864755</v>
      </c>
      <c r="M28" s="12" t="s">
        <v>10</v>
      </c>
      <c r="N28" s="15">
        <f ca="1">N21+N22+N23+N24+N20</f>
        <v>3.761848148140416</v>
      </c>
      <c r="O28" s="258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258"/>
    </row>
    <row r="29" spans="1:27">
      <c r="A29" s="280" t="s">
        <v>0</v>
      </c>
      <c r="B29" s="281"/>
      <c r="C29" s="281"/>
      <c r="D29" s="282"/>
      <c r="F29" s="277" t="s">
        <v>1</v>
      </c>
      <c r="G29" s="278"/>
      <c r="H29" s="278"/>
      <c r="I29" s="279"/>
      <c r="J29" s="289"/>
      <c r="K29" s="49" t="s">
        <v>41</v>
      </c>
      <c r="L29" s="50">
        <f ca="1">L28+(L18/24)</f>
        <v>46315.576444309198</v>
      </c>
      <c r="M29" s="12" t="s">
        <v>42</v>
      </c>
      <c r="N29" s="229">
        <f ca="1">N17/L16/24</f>
        <v>1.8940255544192974</v>
      </c>
      <c r="O29" s="258"/>
      <c r="P29" s="173" t="s">
        <v>43</v>
      </c>
      <c r="Q29" s="194">
        <f>Q28/L26</f>
        <v>0</v>
      </c>
      <c r="R29" s="173" t="s">
        <v>43</v>
      </c>
      <c r="S29" s="187">
        <f>S28/L26</f>
        <v>0</v>
      </c>
      <c r="T29" s="258"/>
    </row>
    <row r="30" spans="1:27">
      <c r="A30" s="17" t="s">
        <v>44</v>
      </c>
      <c r="B30" s="6">
        <f>B2</f>
        <v>5572</v>
      </c>
      <c r="C30" s="11" t="s">
        <v>11</v>
      </c>
      <c r="D30" s="6">
        <f>D10</f>
        <v>9</v>
      </c>
      <c r="F30" s="17" t="s">
        <v>44</v>
      </c>
      <c r="G30" s="6">
        <f>G2</f>
        <v>986</v>
      </c>
      <c r="H30" s="11" t="s">
        <v>11</v>
      </c>
      <c r="I30" s="6">
        <f>I10</f>
        <v>11</v>
      </c>
      <c r="J30" s="289"/>
      <c r="K30" s="226" t="s">
        <v>45</v>
      </c>
      <c r="L30" s="225">
        <f ca="1">AVERAGE(L28,L29)</f>
        <v>46315.56672208698</v>
      </c>
      <c r="M30" s="12" t="s">
        <v>46</v>
      </c>
      <c r="N30" s="9">
        <f>MAX(IFERROR(B26*1,0),IFERROR(G26*1,0),IFERROR(L12*1,0),IFERROR(G12*1,0),IFERROR(B12*1,0),IFERROR(Q8*1,0))</f>
        <v>0.14492301290054099</v>
      </c>
      <c r="O30" s="258"/>
      <c r="P30" s="266"/>
      <c r="Q30" s="267"/>
      <c r="R30" s="267"/>
      <c r="S30" s="267"/>
      <c r="T30" s="258"/>
    </row>
    <row r="31" spans="1:27">
      <c r="A31" s="17" t="s">
        <v>47</v>
      </c>
      <c r="B31" s="6">
        <f>Q22</f>
        <v>0</v>
      </c>
      <c r="C31" s="136"/>
      <c r="D31" s="138"/>
      <c r="F31" s="17" t="s">
        <v>47</v>
      </c>
      <c r="G31" s="6">
        <f>Q23</f>
        <v>0</v>
      </c>
      <c r="H31" s="136"/>
      <c r="I31" s="138"/>
      <c r="J31" s="289"/>
      <c r="K31" s="276"/>
      <c r="L31" s="276"/>
      <c r="M31" s="276"/>
      <c r="N31" s="276"/>
      <c r="O31" s="258"/>
      <c r="P31" s="178" t="s">
        <v>48</v>
      </c>
      <c r="Q31" s="179"/>
      <c r="R31" s="255" t="s">
        <v>49</v>
      </c>
      <c r="S31" s="256"/>
      <c r="T31" s="258"/>
    </row>
    <row r="32" spans="1:27">
      <c r="A32" s="17" t="s">
        <v>50</v>
      </c>
      <c r="B32" s="18">
        <f>B31/9</f>
        <v>0</v>
      </c>
      <c r="C32" s="137"/>
      <c r="D32" s="139"/>
      <c r="F32" s="17" t="s">
        <v>50</v>
      </c>
      <c r="G32" s="18">
        <f>G31/9</f>
        <v>0</v>
      </c>
      <c r="H32" s="137"/>
      <c r="I32" s="139"/>
      <c r="J32" s="289"/>
      <c r="K32" s="251" t="s">
        <v>2</v>
      </c>
      <c r="L32" s="252"/>
      <c r="M32" s="252"/>
      <c r="N32" s="252"/>
      <c r="O32" s="258"/>
      <c r="P32" s="262" t="s">
        <v>0</v>
      </c>
      <c r="Q32" s="262"/>
      <c r="R32" s="74" t="s">
        <v>34</v>
      </c>
      <c r="S32" s="170">
        <f>S22/D10</f>
        <v>0</v>
      </c>
      <c r="T32" s="258"/>
    </row>
    <row r="33" spans="1:20">
      <c r="A33" s="17" t="s">
        <v>51</v>
      </c>
      <c r="B33" s="18">
        <f>B32/D10</f>
        <v>0</v>
      </c>
      <c r="C33" s="140"/>
      <c r="D33" s="141"/>
      <c r="F33" s="17" t="s">
        <v>51</v>
      </c>
      <c r="G33" s="18">
        <f>G32/I10</f>
        <v>0</v>
      </c>
      <c r="H33" s="140"/>
      <c r="I33" s="141"/>
      <c r="J33" s="289"/>
      <c r="K33" s="17" t="s">
        <v>44</v>
      </c>
      <c r="L33" s="6">
        <f>L2</f>
        <v>802</v>
      </c>
      <c r="M33" s="11" t="s">
        <v>11</v>
      </c>
      <c r="N33" s="57">
        <f>N10</f>
        <v>3</v>
      </c>
      <c r="O33" s="258"/>
      <c r="P33" s="263" t="s">
        <v>1</v>
      </c>
      <c r="Q33" s="263"/>
      <c r="R33" s="75" t="s">
        <v>34</v>
      </c>
      <c r="S33" s="170">
        <f>S23/I10</f>
        <v>0</v>
      </c>
      <c r="T33" s="258"/>
    </row>
    <row r="34" spans="1:20">
      <c r="A34" s="264"/>
      <c r="B34" s="265"/>
      <c r="C34" s="265"/>
      <c r="D34" s="270"/>
      <c r="F34" s="264"/>
      <c r="G34" s="265"/>
      <c r="H34" s="265"/>
      <c r="I34" s="270"/>
      <c r="J34" s="289"/>
      <c r="K34" s="17" t="s">
        <v>52</v>
      </c>
      <c r="L34" s="6">
        <f>Q24</f>
        <v>0</v>
      </c>
      <c r="M34" s="17" t="s">
        <v>43</v>
      </c>
      <c r="N34" s="18">
        <f>L34/N10</f>
        <v>0</v>
      </c>
      <c r="O34" s="258"/>
      <c r="P34" s="259" t="s">
        <v>2</v>
      </c>
      <c r="Q34" s="259"/>
      <c r="R34" s="76" t="s">
        <v>53</v>
      </c>
      <c r="S34" s="170">
        <f>N34</f>
        <v>0</v>
      </c>
      <c r="T34" s="258"/>
    </row>
    <row r="35" spans="1:20">
      <c r="A35" s="245" t="s">
        <v>18</v>
      </c>
      <c r="B35" s="246"/>
      <c r="C35" s="246"/>
      <c r="D35" s="247"/>
      <c r="F35" s="248" t="s">
        <v>54</v>
      </c>
      <c r="G35" s="249"/>
      <c r="H35" s="249"/>
      <c r="I35" s="250"/>
      <c r="J35" s="289"/>
      <c r="K35" s="264"/>
      <c r="L35" s="265"/>
      <c r="M35" s="265"/>
      <c r="N35" s="265"/>
      <c r="O35" s="258"/>
      <c r="P35" s="305" t="s">
        <v>18</v>
      </c>
      <c r="Q35" s="305"/>
      <c r="R35" s="77" t="s">
        <v>38</v>
      </c>
      <c r="S35" s="170">
        <f>S25/D24</f>
        <v>0</v>
      </c>
      <c r="T35" s="258"/>
    </row>
    <row r="36" spans="1:20">
      <c r="A36" s="17" t="s">
        <v>44</v>
      </c>
      <c r="B36" s="6">
        <f>B16</f>
        <v>254</v>
      </c>
      <c r="C36" s="11" t="s">
        <v>11</v>
      </c>
      <c r="D36" s="6">
        <f>D16</f>
        <v>0</v>
      </c>
      <c r="F36" s="17" t="s">
        <v>44</v>
      </c>
      <c r="G36" s="6">
        <f>G16</f>
        <v>1021</v>
      </c>
      <c r="H36" s="11" t="s">
        <v>11</v>
      </c>
      <c r="I36" s="6">
        <f>I16</f>
        <v>0</v>
      </c>
      <c r="J36" s="289"/>
      <c r="K36" s="253" t="s">
        <v>3</v>
      </c>
      <c r="L36" s="254"/>
      <c r="M36" s="254"/>
      <c r="N36" s="254"/>
      <c r="O36" s="258"/>
      <c r="P36" s="306" t="s">
        <v>19</v>
      </c>
      <c r="Q36" s="306"/>
      <c r="R36" s="78" t="s">
        <v>38</v>
      </c>
      <c r="S36" s="170">
        <f>S26/I24</f>
        <v>0</v>
      </c>
      <c r="T36" s="258"/>
    </row>
    <row r="37" spans="1:20">
      <c r="A37" s="17" t="s">
        <v>47</v>
      </c>
      <c r="B37" s="6">
        <f>Q25</f>
        <v>0</v>
      </c>
      <c r="C37" s="136"/>
      <c r="D37" s="138"/>
      <c r="F37" s="17" t="s">
        <v>47</v>
      </c>
      <c r="G37" s="6">
        <f>Q26</f>
        <v>0</v>
      </c>
      <c r="H37" s="157"/>
      <c r="I37" s="158"/>
      <c r="J37" s="289"/>
      <c r="K37" s="17" t="s">
        <v>44</v>
      </c>
      <c r="L37" s="6">
        <f>Q2</f>
        <v>104</v>
      </c>
      <c r="M37" s="11" t="s">
        <v>11</v>
      </c>
      <c r="N37" s="57">
        <f>S6</f>
        <v>2</v>
      </c>
      <c r="O37" s="258"/>
      <c r="P37" s="307" t="s">
        <v>3</v>
      </c>
      <c r="Q37" s="307"/>
      <c r="R37" s="177" t="s">
        <v>34</v>
      </c>
      <c r="S37" s="171">
        <f>S27/S6</f>
        <v>0</v>
      </c>
      <c r="T37" s="258"/>
    </row>
    <row r="38" spans="1:20" ht="15" customHeight="1">
      <c r="A38" s="17" t="s">
        <v>55</v>
      </c>
      <c r="B38" s="18">
        <f>B37/10</f>
        <v>0</v>
      </c>
      <c r="C38" s="137"/>
      <c r="D38" s="139"/>
      <c r="F38" s="17" t="s">
        <v>55</v>
      </c>
      <c r="G38" s="18">
        <f>G37/10</f>
        <v>0</v>
      </c>
      <c r="H38" s="159"/>
      <c r="I38" s="160"/>
      <c r="J38" s="289"/>
      <c r="K38" s="17" t="s">
        <v>47</v>
      </c>
      <c r="L38" s="6">
        <f>Q27</f>
        <v>0</v>
      </c>
      <c r="M38" s="295"/>
      <c r="N38" s="296"/>
      <c r="O38" s="258"/>
      <c r="P38" s="297">
        <f ca="1">NOW()</f>
        <v>46315.395410185185</v>
      </c>
      <c r="Q38" s="299" t="s">
        <v>56</v>
      </c>
      <c r="R38" s="301">
        <f ca="1">I27</f>
        <v>46315.395410185185</v>
      </c>
      <c r="S38" s="302"/>
      <c r="T38" s="258"/>
    </row>
    <row r="39" spans="1:20" ht="15" customHeight="1">
      <c r="A39" s="17" t="s">
        <v>57</v>
      </c>
      <c r="B39" s="18">
        <f>B38/D24</f>
        <v>0</v>
      </c>
      <c r="C39" s="140"/>
      <c r="D39" s="141"/>
      <c r="F39" s="17" t="s">
        <v>57</v>
      </c>
      <c r="G39" s="18">
        <f>G38/I24</f>
        <v>0</v>
      </c>
      <c r="H39" s="161"/>
      <c r="I39" s="162"/>
      <c r="J39" s="289"/>
      <c r="K39" s="17" t="s">
        <v>50</v>
      </c>
      <c r="L39" s="18">
        <f>L38/16</f>
        <v>0</v>
      </c>
      <c r="M39" s="17" t="s">
        <v>51</v>
      </c>
      <c r="N39" s="18">
        <f>L39/N37</f>
        <v>0</v>
      </c>
      <c r="O39" s="258"/>
      <c r="P39" s="298"/>
      <c r="Q39" s="300"/>
      <c r="R39" s="303"/>
      <c r="S39" s="304"/>
      <c r="T39" s="274"/>
    </row>
    <row r="40" spans="1:20">
      <c r="A40" s="288"/>
      <c r="B40" s="257"/>
      <c r="C40" s="257"/>
      <c r="D40" s="294"/>
      <c r="F40" s="288"/>
      <c r="G40" s="257"/>
      <c r="H40" s="257"/>
      <c r="I40" s="294"/>
      <c r="J40" s="289"/>
      <c r="K40" s="288"/>
      <c r="L40" s="257"/>
      <c r="M40" s="257"/>
      <c r="N40" s="257"/>
      <c r="O40" s="258"/>
      <c r="P40" s="289"/>
      <c r="Q40" s="258"/>
      <c r="R40" s="258"/>
      <c r="S40" s="258"/>
      <c r="T40" s="29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49">
    <mergeCell ref="A40:D40"/>
    <mergeCell ref="F40:I40"/>
    <mergeCell ref="K40:N40"/>
    <mergeCell ref="P40:T40"/>
    <mergeCell ref="K32:N32"/>
    <mergeCell ref="A34:D34"/>
    <mergeCell ref="F34:I34"/>
    <mergeCell ref="A35:D35"/>
    <mergeCell ref="F35:I35"/>
    <mergeCell ref="K35:N35"/>
    <mergeCell ref="T1:T39"/>
    <mergeCell ref="P10:S10"/>
    <mergeCell ref="R11:S11"/>
    <mergeCell ref="A14:D14"/>
    <mergeCell ref="F14:I14"/>
    <mergeCell ref="K14:N14"/>
    <mergeCell ref="A15:D15"/>
    <mergeCell ref="F15:I15"/>
    <mergeCell ref="P19:S19"/>
    <mergeCell ref="A28:D28"/>
    <mergeCell ref="F28:I28"/>
    <mergeCell ref="A29:D29"/>
    <mergeCell ref="F29:I29"/>
    <mergeCell ref="P30:S30"/>
    <mergeCell ref="K31:N31"/>
    <mergeCell ref="R31:S31"/>
    <mergeCell ref="P34:Q34"/>
    <mergeCell ref="A1:D1"/>
    <mergeCell ref="F1:I1"/>
    <mergeCell ref="P1:S1"/>
    <mergeCell ref="C2:D3"/>
    <mergeCell ref="M2:N3"/>
    <mergeCell ref="R2:S3"/>
    <mergeCell ref="R7:S9"/>
    <mergeCell ref="P20:Q20"/>
    <mergeCell ref="R20:S20"/>
    <mergeCell ref="P32:Q32"/>
    <mergeCell ref="P33:Q33"/>
    <mergeCell ref="J1:J40"/>
    <mergeCell ref="K1:N1"/>
    <mergeCell ref="O1:O40"/>
    <mergeCell ref="R38:S39"/>
    <mergeCell ref="P35:Q35"/>
    <mergeCell ref="P36:Q36"/>
    <mergeCell ref="P37:Q37"/>
    <mergeCell ref="M38:N38"/>
    <mergeCell ref="P38:P39"/>
    <mergeCell ref="Q38:Q39"/>
    <mergeCell ref="K36:N36"/>
  </mergeCells>
  <conditionalFormatting sqref="S12:S17">
    <cfRule type="cellIs" dxfId="108" priority="24" operator="equal">
      <formula>$S$18</formula>
    </cfRule>
  </conditionalFormatting>
  <conditionalFormatting sqref="N17:N18">
    <cfRule type="cellIs" dxfId="107" priority="21" stopIfTrue="1" operator="greaterThan">
      <formula>$N$16</formula>
    </cfRule>
  </conditionalFormatting>
  <conditionalFormatting sqref="N15">
    <cfRule type="cellIs" dxfId="106" priority="20" operator="greaterThan">
      <formula>$N$17</formula>
    </cfRule>
  </conditionalFormatting>
  <conditionalFormatting sqref="N17">
    <cfRule type="cellIs" dxfId="105" priority="19" operator="lessThan">
      <formula>$N$16</formula>
    </cfRule>
  </conditionalFormatting>
  <conditionalFormatting sqref="N15">
    <cfRule type="cellIs" dxfId="104" priority="18" operator="equal">
      <formula>$N$17</formula>
    </cfRule>
  </conditionalFormatting>
  <conditionalFormatting sqref="N15">
    <cfRule type="cellIs" dxfId="103" priority="17" operator="lessThan">
      <formula>$N$17</formula>
    </cfRule>
  </conditionalFormatting>
  <conditionalFormatting sqref="N18">
    <cfRule type="cellIs" dxfId="102" priority="16" operator="lessThan">
      <formula>$N$16</formula>
    </cfRule>
  </conditionalFormatting>
  <conditionalFormatting sqref="N18">
    <cfRule type="cellIs" dxfId="101" priority="15" operator="equal">
      <formula>$N$17</formula>
    </cfRule>
  </conditionalFormatting>
  <conditionalFormatting sqref="N19">
    <cfRule type="containsErrors" dxfId="100" priority="14">
      <formula>ISERROR(N19)</formula>
    </cfRule>
  </conditionalFormatting>
  <conditionalFormatting sqref="L15">
    <cfRule type="containsText" dxfId="99" priority="13" operator="containsText" text="-">
      <formula>NOT(ISERROR(SEARCH("-",L15)))</formula>
    </cfRule>
  </conditionalFormatting>
  <conditionalFormatting sqref="L15">
    <cfRule type="notContainsText" dxfId="98" priority="12" operator="notContains" text="-">
      <formula>ISERROR(SEARCH("-",L15))</formula>
    </cfRule>
  </conditionalFormatting>
  <conditionalFormatting sqref="L15">
    <cfRule type="cellIs" dxfId="97" priority="11" operator="equal">
      <formula>0</formula>
    </cfRule>
  </conditionalFormatting>
  <conditionalFormatting sqref="N26">
    <cfRule type="containsText" dxfId="96" priority="9" operator="containsText" text="-">
      <formula>NOT(ISERROR(SEARCH("-",N26)))</formula>
    </cfRule>
    <cfRule type="cellIs" dxfId="95" priority="10" operator="greaterThan">
      <formula>0</formula>
    </cfRule>
  </conditionalFormatting>
  <conditionalFormatting sqref="N25">
    <cfRule type="containsText" dxfId="94" priority="7" operator="containsText" text="-">
      <formula>NOT(ISERROR(SEARCH("-",N25)))</formula>
    </cfRule>
  </conditionalFormatting>
  <conditionalFormatting sqref="N25">
    <cfRule type="cellIs" dxfId="93" priority="8" operator="greaterThan">
      <formula>0</formula>
    </cfRule>
  </conditionalFormatting>
  <conditionalFormatting sqref="L15">
    <cfRule type="containsErrors" dxfId="92" priority="6">
      <formula>ISERROR(L15)</formula>
    </cfRule>
  </conditionalFormatting>
  <conditionalFormatting sqref="N25">
    <cfRule type="containsText" dxfId="91" priority="5" operator="containsText" text="0:00">
      <formula>NOT(ISERROR(SEARCH("0:00",N25)))</formula>
    </cfRule>
  </conditionalFormatting>
  <conditionalFormatting sqref="N26">
    <cfRule type="containsText" dxfId="90" priority="4" operator="containsText" text="0:00">
      <formula>NOT(ISERROR(SEARCH("0:00",N26)))</formula>
    </cfRule>
  </conditionalFormatting>
  <conditionalFormatting sqref="N27">
    <cfRule type="cellIs" dxfId="89" priority="3" operator="greaterThan">
      <formula>0</formula>
    </cfRule>
  </conditionalFormatting>
  <conditionalFormatting sqref="N27">
    <cfRule type="cellIs" dxfId="88" priority="2" operator="equal">
      <formula>0</formula>
    </cfRule>
  </conditionalFormatting>
  <conditionalFormatting sqref="N27">
    <cfRule type="containsText" dxfId="87" priority="1" operator="containsText" text="-">
      <formula>NOT(ISERROR(SEARCH("-",N27)))</formula>
    </cfRule>
  </conditionalFormatting>
  <conditionalFormatting sqref="N29">
    <cfRule type="cellIs" dxfId="86" priority="22" operator="greaterThan">
      <formula>$N$28</formula>
    </cfRule>
  </conditionalFormatting>
  <conditionalFormatting sqref="N29">
    <cfRule type="cellIs" dxfId="85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D324-472E-4A55-8792-0049BF648611}">
  <sheetPr>
    <tabColor rgb="FFFFFF00"/>
  </sheetPr>
  <dimension ref="A1:AB1675"/>
  <sheetViews>
    <sheetView showGridLines="0" showRowColHeaders="0" zoomScale="85" zoomScaleNormal="85" workbookViewId="0">
      <selection activeCell="Q12" sqref="Q12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280" t="s">
        <v>0</v>
      </c>
      <c r="B1" s="281"/>
      <c r="C1" s="281"/>
      <c r="D1" s="282"/>
      <c r="E1" s="43"/>
      <c r="F1" s="277" t="s">
        <v>1</v>
      </c>
      <c r="G1" s="278"/>
      <c r="H1" s="278"/>
      <c r="I1" s="279"/>
      <c r="J1" s="288"/>
      <c r="K1" s="251" t="s">
        <v>2</v>
      </c>
      <c r="L1" s="252"/>
      <c r="M1" s="252"/>
      <c r="N1" s="271"/>
      <c r="O1" s="257"/>
      <c r="P1" s="253" t="s">
        <v>3</v>
      </c>
      <c r="Q1" s="254"/>
      <c r="R1" s="254"/>
      <c r="S1" s="283"/>
      <c r="T1" s="257">
        <v>47</v>
      </c>
    </row>
    <row r="2" spans="1:28">
      <c r="A2" s="11" t="s">
        <v>4</v>
      </c>
      <c r="B2" s="6">
        <f>Q12</f>
        <v>0</v>
      </c>
      <c r="C2" s="284"/>
      <c r="D2" s="285"/>
      <c r="E2" s="203"/>
      <c r="F2" s="11" t="s">
        <v>4</v>
      </c>
      <c r="G2" s="6">
        <f>Q13</f>
        <v>0</v>
      </c>
      <c r="H2" s="241"/>
      <c r="I2" s="242"/>
      <c r="J2" s="289"/>
      <c r="K2" s="6" t="s">
        <v>4</v>
      </c>
      <c r="L2" s="6">
        <f>Q14</f>
        <v>0</v>
      </c>
      <c r="M2" s="284"/>
      <c r="N2" s="285"/>
      <c r="O2" s="258"/>
      <c r="P2" s="6" t="s">
        <v>4</v>
      </c>
      <c r="Q2" s="6">
        <f>Q17</f>
        <v>0</v>
      </c>
      <c r="R2" s="284"/>
      <c r="S2" s="285"/>
      <c r="T2" s="258"/>
    </row>
    <row r="3" spans="1:28">
      <c r="A3" s="11" t="s">
        <v>5</v>
      </c>
      <c r="B3" s="6">
        <f>'Keräysteho kplh'!B2</f>
        <v>178</v>
      </c>
      <c r="C3" s="286"/>
      <c r="D3" s="287"/>
      <c r="E3" s="203"/>
      <c r="F3" s="11" t="s">
        <v>5</v>
      </c>
      <c r="G3" s="6">
        <f>'Keräysteho kplh'!B3</f>
        <v>73</v>
      </c>
      <c r="H3" s="243"/>
      <c r="I3" s="244"/>
      <c r="J3" s="289"/>
      <c r="K3" s="6" t="s">
        <v>5</v>
      </c>
      <c r="L3" s="6">
        <f>'Keräysteho kplh'!B4</f>
        <v>108</v>
      </c>
      <c r="M3" s="286"/>
      <c r="N3" s="287"/>
      <c r="O3" s="258"/>
      <c r="P3" s="6" t="s">
        <v>5</v>
      </c>
      <c r="Q3" s="6">
        <f>'Keräysteho kplh'!B7</f>
        <v>32</v>
      </c>
      <c r="R3" s="286"/>
      <c r="S3" s="287"/>
      <c r="T3" s="258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203"/>
      <c r="F4" s="11" t="s">
        <v>6</v>
      </c>
      <c r="G4" s="12" t="s">
        <v>7</v>
      </c>
      <c r="H4" s="11" t="s">
        <v>8</v>
      </c>
      <c r="I4" s="11" t="s">
        <v>9</v>
      </c>
      <c r="J4" s="289"/>
      <c r="K4" s="11" t="s">
        <v>6</v>
      </c>
      <c r="L4" s="12" t="s">
        <v>7</v>
      </c>
      <c r="M4" s="11" t="s">
        <v>8</v>
      </c>
      <c r="N4" s="11" t="s">
        <v>9</v>
      </c>
      <c r="O4" s="258"/>
      <c r="P4" s="47" t="s">
        <v>6</v>
      </c>
      <c r="Q4" s="80"/>
      <c r="R4" s="47" t="s">
        <v>8</v>
      </c>
      <c r="S4" s="47" t="s">
        <v>9</v>
      </c>
      <c r="T4" s="258"/>
    </row>
    <row r="5" spans="1:28">
      <c r="A5" s="66">
        <f ca="1">TODAY()+TIME(11,0,0)</f>
        <v>46315.458333333336</v>
      </c>
      <c r="B5" s="65">
        <v>0</v>
      </c>
      <c r="C5" s="73">
        <f ca="1">A5-D13</f>
        <v>6.2923148150730412E-2</v>
      </c>
      <c r="D5" s="9">
        <f ca="1">B5*C5</f>
        <v>0</v>
      </c>
      <c r="E5" s="203"/>
      <c r="F5" s="66">
        <f ca="1">TODAY()+TIME(11,0,0)</f>
        <v>46315.458333333336</v>
      </c>
      <c r="G5" s="65">
        <v>0</v>
      </c>
      <c r="H5" s="73">
        <f ca="1">F5-I13</f>
        <v>6.2923148150730412E-2</v>
      </c>
      <c r="I5" s="9">
        <f ca="1">G5*H5</f>
        <v>0</v>
      </c>
      <c r="J5" s="289"/>
      <c r="K5" s="66">
        <f ca="1">TODAY()+TIME(11,0,0)</f>
        <v>46315.458333333336</v>
      </c>
      <c r="L5" s="65">
        <v>0</v>
      </c>
      <c r="M5" s="73">
        <f ca="1">K5-N13</f>
        <v>6.2923148150730412E-2</v>
      </c>
      <c r="N5" s="9">
        <f ca="1">L5*M5</f>
        <v>0</v>
      </c>
      <c r="O5" s="258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58"/>
    </row>
    <row r="6" spans="1:28">
      <c r="A6" s="66">
        <f ca="1">TODAY()+TIME(12,0,0)</f>
        <v>46315.5</v>
      </c>
      <c r="B6" s="65">
        <v>0</v>
      </c>
      <c r="C6" s="73">
        <f ca="1">A6-D13</f>
        <v>0.10458981481497176</v>
      </c>
      <c r="D6" s="9">
        <f ca="1">B6*C6</f>
        <v>0</v>
      </c>
      <c r="E6" s="203"/>
      <c r="F6" s="66">
        <f ca="1">TODAY()+TIME(12,0,0)</f>
        <v>46315.5</v>
      </c>
      <c r="G6" s="65">
        <v>0</v>
      </c>
      <c r="H6" s="73">
        <f ca="1">F6-I13</f>
        <v>0.10458981481497176</v>
      </c>
      <c r="I6" s="9">
        <f ca="1">G6*H6</f>
        <v>0</v>
      </c>
      <c r="J6" s="289"/>
      <c r="K6" s="66">
        <f ca="1">TODAY()+TIME(12,0,0)</f>
        <v>46315.5</v>
      </c>
      <c r="L6" s="65">
        <v>0</v>
      </c>
      <c r="M6" s="73">
        <f ca="1">K6-N13</f>
        <v>0.10458981481497176</v>
      </c>
      <c r="N6" s="9">
        <f ca="1">L6*M6</f>
        <v>0</v>
      </c>
      <c r="O6" s="258"/>
      <c r="P6" s="11" t="s">
        <v>10</v>
      </c>
      <c r="Q6" s="9" t="e">
        <f ca="1">S5</f>
        <v>#VALUE!</v>
      </c>
      <c r="R6" s="11" t="s">
        <v>11</v>
      </c>
      <c r="S6" s="6">
        <f>Q5</f>
        <v>0</v>
      </c>
      <c r="T6" s="258"/>
    </row>
    <row r="7" spans="1:28">
      <c r="A7" s="66">
        <f ca="1">TODAY()+TIME(13,0,0)</f>
        <v>46315.541666666664</v>
      </c>
      <c r="B7" s="65">
        <v>0</v>
      </c>
      <c r="C7" s="73">
        <f ca="1">A7-D13</f>
        <v>0.14625648147921311</v>
      </c>
      <c r="D7" s="9">
        <f ca="1">B7*C7</f>
        <v>0</v>
      </c>
      <c r="E7" s="203"/>
      <c r="F7" s="66">
        <f ca="1">TODAY()+TIME(13,0,0)</f>
        <v>46315.541666666664</v>
      </c>
      <c r="G7" s="65">
        <v>0</v>
      </c>
      <c r="H7" s="73">
        <f ca="1">F7-I13</f>
        <v>0.14625648147921311</v>
      </c>
      <c r="I7" s="9">
        <f ca="1">G7*H7</f>
        <v>0</v>
      </c>
      <c r="J7" s="289"/>
      <c r="K7" s="66">
        <f ca="1">TODAY()+TIME(13,0,0)</f>
        <v>46315.541666666664</v>
      </c>
      <c r="L7" s="65">
        <v>0</v>
      </c>
      <c r="M7" s="73">
        <f ca="1">K7-N13</f>
        <v>0.14625648147921311</v>
      </c>
      <c r="N7" s="9">
        <f ca="1">L7*M7</f>
        <v>0</v>
      </c>
      <c r="O7" s="258"/>
      <c r="P7" s="11" t="s">
        <v>12</v>
      </c>
      <c r="Q7" s="10" t="e">
        <f>Q2/(Q5)</f>
        <v>#DIV/0!</v>
      </c>
      <c r="R7" s="284"/>
      <c r="S7" s="285"/>
      <c r="T7" s="258"/>
    </row>
    <row r="8" spans="1:28">
      <c r="A8" s="66">
        <f ca="1">TODAY()+TIME(14,0,0)</f>
        <v>46315.583333333336</v>
      </c>
      <c r="B8" s="65">
        <v>0</v>
      </c>
      <c r="C8" s="73">
        <f ca="1">A8-D13</f>
        <v>0.18792314815073041</v>
      </c>
      <c r="D8" s="9">
        <f ca="1">B8*C8</f>
        <v>0</v>
      </c>
      <c r="E8" s="203"/>
      <c r="F8" s="66">
        <f ca="1">TODAY()+TIME(14,0,0)</f>
        <v>46315.583333333336</v>
      </c>
      <c r="G8" s="65">
        <v>0</v>
      </c>
      <c r="H8" s="73">
        <f ca="1">F8-I13</f>
        <v>0.18792314815073041</v>
      </c>
      <c r="I8" s="9">
        <f ca="1">G8*H8</f>
        <v>0</v>
      </c>
      <c r="J8" s="289"/>
      <c r="K8" s="66">
        <f ca="1">TODAY()+TIME(14,0,0)</f>
        <v>46315.583333333336</v>
      </c>
      <c r="L8" s="65">
        <v>0</v>
      </c>
      <c r="M8" s="73">
        <f ca="1">K8-N13</f>
        <v>0.18792314815073041</v>
      </c>
      <c r="N8" s="9">
        <f ca="1">L8*M8</f>
        <v>0</v>
      </c>
      <c r="O8" s="258"/>
      <c r="P8" s="11" t="s">
        <v>13</v>
      </c>
      <c r="Q8" s="9" t="e">
        <f>Q2/(Q3*(Q5))/24</f>
        <v>#DIV/0!</v>
      </c>
      <c r="R8" s="308"/>
      <c r="S8" s="309"/>
      <c r="T8" s="258"/>
    </row>
    <row r="9" spans="1:28">
      <c r="A9" s="66">
        <f ca="1">TODAY()+TIME(15,0,0)</f>
        <v>46315.625</v>
      </c>
      <c r="B9" s="65">
        <v>0</v>
      </c>
      <c r="C9" s="73">
        <f ca="1">A9-D13</f>
        <v>0.22958981481497176</v>
      </c>
      <c r="D9" s="9">
        <f ca="1">B9*C9</f>
        <v>0</v>
      </c>
      <c r="E9" s="203"/>
      <c r="F9" s="66">
        <f ca="1">TODAY()+TIME(15,0,0)</f>
        <v>46315.625</v>
      </c>
      <c r="G9" s="65">
        <v>0</v>
      </c>
      <c r="H9" s="73">
        <f ca="1">F9-I13</f>
        <v>0.22958981481497176</v>
      </c>
      <c r="I9" s="9">
        <f ca="1">G9*H9</f>
        <v>0</v>
      </c>
      <c r="J9" s="289"/>
      <c r="K9" s="66">
        <f ca="1">TODAY()+TIME(15,0,0)</f>
        <v>46315.625</v>
      </c>
      <c r="L9" s="65">
        <v>0</v>
      </c>
      <c r="M9" s="73">
        <f ca="1">K9-N13</f>
        <v>0.22958981481497176</v>
      </c>
      <c r="N9" s="9">
        <f ca="1">L9*M9</f>
        <v>0</v>
      </c>
      <c r="O9" s="258"/>
      <c r="P9" s="11" t="s">
        <v>14</v>
      </c>
      <c r="Q9" s="8" t="str">
        <f ca="1">IFERROR(L25+Q8+IF(Q2&gt;=400,TIME(0,24,0),0),"")</f>
        <v/>
      </c>
      <c r="R9" s="286"/>
      <c r="S9" s="287"/>
      <c r="T9" s="258"/>
    </row>
    <row r="10" spans="1:28">
      <c r="A10" s="11" t="s">
        <v>10</v>
      </c>
      <c r="B10" s="9">
        <f ca="1">D5+D6+D7+D8+D9</f>
        <v>0</v>
      </c>
      <c r="C10" s="11" t="s">
        <v>11</v>
      </c>
      <c r="D10" s="6">
        <f>B9+B8+B7+B6+B5</f>
        <v>0</v>
      </c>
      <c r="E10" s="203"/>
      <c r="F10" s="11" t="s">
        <v>10</v>
      </c>
      <c r="G10" s="9">
        <f ca="1">I5+I6+I7+I8+I9</f>
        <v>0</v>
      </c>
      <c r="H10" s="11" t="s">
        <v>11</v>
      </c>
      <c r="I10" s="6">
        <f>G9+G8+G7+G6+G5</f>
        <v>0</v>
      </c>
      <c r="J10" s="289"/>
      <c r="K10" s="11" t="s">
        <v>10</v>
      </c>
      <c r="L10" s="9">
        <f ca="1">N9+N8+N7+N6+N5</f>
        <v>0</v>
      </c>
      <c r="M10" s="47" t="s">
        <v>11</v>
      </c>
      <c r="N10" s="232">
        <f>L9+L8+L7+L6+L5</f>
        <v>0</v>
      </c>
      <c r="O10" s="258"/>
      <c r="P10" s="265"/>
      <c r="Q10" s="265"/>
      <c r="R10" s="265"/>
      <c r="S10" s="270"/>
      <c r="T10" s="258"/>
    </row>
    <row r="11" spans="1:28">
      <c r="A11" s="11" t="s">
        <v>12</v>
      </c>
      <c r="B11" s="10" t="e">
        <f>B2/(B6+B7+B8+B9)</f>
        <v>#DIV/0!</v>
      </c>
      <c r="C11" s="136"/>
      <c r="D11" s="138"/>
      <c r="E11" s="203"/>
      <c r="F11" s="11" t="s">
        <v>12</v>
      </c>
      <c r="G11" s="10" t="e">
        <f>G2/(G6+G7+G8+G9)</f>
        <v>#DIV/0!</v>
      </c>
      <c r="H11" s="136"/>
      <c r="I11" s="138"/>
      <c r="J11" s="289"/>
      <c r="K11" s="11" t="s">
        <v>12</v>
      </c>
      <c r="L11" s="230" t="e">
        <f>L2/(L6+L7+L8+L9)</f>
        <v>#DIV/0!</v>
      </c>
      <c r="M11" s="235"/>
      <c r="N11" s="236"/>
      <c r="O11" s="258"/>
      <c r="P11" s="121" t="s">
        <v>15</v>
      </c>
      <c r="Q11" s="122"/>
      <c r="R11" s="272" t="s">
        <v>16</v>
      </c>
      <c r="S11" s="273"/>
      <c r="T11" s="258"/>
    </row>
    <row r="12" spans="1:28">
      <c r="A12" s="11" t="s">
        <v>13</v>
      </c>
      <c r="B12" s="9" t="e">
        <f>B2/(B3*(B6+B7+B8+B9+B5))/24</f>
        <v>#DIV/0!</v>
      </c>
      <c r="C12" s="137"/>
      <c r="D12" s="139"/>
      <c r="E12" s="203"/>
      <c r="F12" s="11" t="s">
        <v>13</v>
      </c>
      <c r="G12" s="9" t="e">
        <f>G2/(G3*(G6+G7+G8+G9+G5))/24</f>
        <v>#DIV/0!</v>
      </c>
      <c r="H12" s="137"/>
      <c r="I12" s="139"/>
      <c r="J12" s="289"/>
      <c r="K12" s="11" t="s">
        <v>13</v>
      </c>
      <c r="L12" s="231" t="e">
        <f>L2/(L3*(L6+L7+L8+L9+L5))/24</f>
        <v>#DIV/0!</v>
      </c>
      <c r="M12" s="237"/>
      <c r="N12" s="238"/>
      <c r="O12" s="258"/>
      <c r="P12" s="67" t="s">
        <v>0</v>
      </c>
      <c r="Q12" s="65">
        <v>0</v>
      </c>
      <c r="R12" s="58" t="s">
        <v>0</v>
      </c>
      <c r="S12" s="20" t="str">
        <f ca="1">B13</f>
        <v/>
      </c>
      <c r="T12" s="258"/>
      <c r="U12" s="186"/>
    </row>
    <row r="13" spans="1:28">
      <c r="A13" s="11" t="s">
        <v>14</v>
      </c>
      <c r="B13" s="8" t="str">
        <f ca="1">IFERROR(D13+B12+IF(B2&gt;=3000,TIME(0,24,0),0),"")</f>
        <v/>
      </c>
      <c r="C13" s="11" t="s">
        <v>17</v>
      </c>
      <c r="D13" s="8">
        <f ca="1">NOW()</f>
        <v>46315.395410185185</v>
      </c>
      <c r="E13" s="203"/>
      <c r="F13" s="11" t="s">
        <v>14</v>
      </c>
      <c r="G13" s="8" t="str">
        <f ca="1">IFERROR(I13+G12+IF(G2&gt;=1500,TIME(0,24,0),0),"")</f>
        <v/>
      </c>
      <c r="H13" s="11" t="s">
        <v>17</v>
      </c>
      <c r="I13" s="8">
        <f ca="1">NOW()</f>
        <v>46315.395410185185</v>
      </c>
      <c r="J13" s="289"/>
      <c r="K13" s="11" t="s">
        <v>14</v>
      </c>
      <c r="L13" s="8" t="str">
        <f ca="1">IFERROR(N13+L12+IF(L2&gt;=400,TIME(0,24,0),0),"")</f>
        <v/>
      </c>
      <c r="M13" s="233" t="s">
        <v>17</v>
      </c>
      <c r="N13" s="234">
        <f ca="1">NOW()</f>
        <v>46315.395410185185</v>
      </c>
      <c r="O13" s="258"/>
      <c r="P13" s="68" t="s">
        <v>1</v>
      </c>
      <c r="Q13" s="65">
        <v>0</v>
      </c>
      <c r="R13" s="59" t="s">
        <v>1</v>
      </c>
      <c r="S13" s="20" t="str">
        <f ca="1">G13</f>
        <v/>
      </c>
      <c r="T13" s="258"/>
    </row>
    <row r="14" spans="1:28">
      <c r="A14" s="290"/>
      <c r="B14" s="291"/>
      <c r="C14" s="291"/>
      <c r="D14" s="292"/>
      <c r="E14" s="203"/>
      <c r="F14" s="264"/>
      <c r="G14" s="265"/>
      <c r="H14" s="265"/>
      <c r="I14" s="270"/>
      <c r="J14" s="289"/>
      <c r="K14" s="264"/>
      <c r="L14" s="265"/>
      <c r="M14" s="265"/>
      <c r="N14" s="265"/>
      <c r="O14" s="258"/>
      <c r="P14" s="69" t="s">
        <v>2</v>
      </c>
      <c r="Q14" s="65">
        <v>0</v>
      </c>
      <c r="R14" s="60" t="s">
        <v>2</v>
      </c>
      <c r="S14" s="20" t="str">
        <f ca="1">L13</f>
        <v/>
      </c>
      <c r="T14" s="258"/>
    </row>
    <row r="15" spans="1:28">
      <c r="A15" s="245" t="s">
        <v>18</v>
      </c>
      <c r="B15" s="246"/>
      <c r="C15" s="246"/>
      <c r="D15" s="247"/>
      <c r="F15" s="248" t="s">
        <v>19</v>
      </c>
      <c r="G15" s="249"/>
      <c r="H15" s="249"/>
      <c r="I15" s="250"/>
      <c r="J15" s="289"/>
      <c r="K15" s="86" t="s">
        <v>20</v>
      </c>
      <c r="L15" s="87" t="e">
        <f ca="1">N29-N28-(L17/24)</f>
        <v>#DIV/0!</v>
      </c>
      <c r="M15" s="86" t="s">
        <v>21</v>
      </c>
      <c r="N15" s="88" t="e">
        <f ca="1">N16+(L16*L17)</f>
        <v>#DIV/0!</v>
      </c>
      <c r="O15" s="258"/>
      <c r="P15" s="70" t="s">
        <v>18</v>
      </c>
      <c r="Q15" s="65">
        <v>0</v>
      </c>
      <c r="R15" s="61" t="s">
        <v>18</v>
      </c>
      <c r="S15" s="20" t="str">
        <f ca="1">B27</f>
        <v/>
      </c>
      <c r="T15" s="258"/>
      <c r="AB15">
        <f ca="1">IFERROR(((N17-N16)/L16)/24,0)+IF(AA26&lt;0,-AA26,0)</f>
        <v>0</v>
      </c>
    </row>
    <row r="16" spans="1:28">
      <c r="A16" s="11" t="s">
        <v>4</v>
      </c>
      <c r="B16" s="6">
        <f>Q15</f>
        <v>0</v>
      </c>
      <c r="C16" s="136"/>
      <c r="D16" s="138"/>
      <c r="F16" s="11" t="s">
        <v>4</v>
      </c>
      <c r="G16" s="6">
        <f>Q16</f>
        <v>0</v>
      </c>
      <c r="H16" s="136"/>
      <c r="I16" s="138"/>
      <c r="J16" s="289"/>
      <c r="K16" s="12" t="s">
        <v>22</v>
      </c>
      <c r="L16" s="90" t="e">
        <f ca="1">(B3*B10+G3*G10+L3*L10+B17*B24+G17*G24)/
(B10+G10+L10+B24+G24)</f>
        <v>#DIV/0!</v>
      </c>
      <c r="M16" s="86" t="s">
        <v>23</v>
      </c>
      <c r="N16" s="89" t="e">
        <f ca="1">L16*N28*24</f>
        <v>#DIV/0!</v>
      </c>
      <c r="O16" s="258"/>
      <c r="P16" s="71" t="s">
        <v>19</v>
      </c>
      <c r="Q16" s="65">
        <v>0</v>
      </c>
      <c r="R16" s="71" t="s">
        <v>19</v>
      </c>
      <c r="S16" s="20" t="str">
        <f ca="1">G27</f>
        <v/>
      </c>
      <c r="T16" s="258"/>
    </row>
    <row r="17" spans="1:27">
      <c r="A17" s="11" t="s">
        <v>5</v>
      </c>
      <c r="B17" s="6">
        <f>'Keräysteho kplh'!B5</f>
        <v>449</v>
      </c>
      <c r="C17" s="137"/>
      <c r="D17" s="139"/>
      <c r="F17" s="11" t="s">
        <v>5</v>
      </c>
      <c r="G17" s="6">
        <f>'Keräysteho kplh'!B6</f>
        <v>401</v>
      </c>
      <c r="H17" s="137"/>
      <c r="I17" s="139"/>
      <c r="J17" s="289"/>
      <c r="K17" s="175" t="s">
        <v>24</v>
      </c>
      <c r="L17" s="222">
        <v>0</v>
      </c>
      <c r="M17" s="12" t="s">
        <v>25</v>
      </c>
      <c r="N17" s="13">
        <f>B2+G2+L2+B16+G16</f>
        <v>0</v>
      </c>
      <c r="O17" s="258"/>
      <c r="P17" s="72" t="s">
        <v>3</v>
      </c>
      <c r="Q17" s="65">
        <v>0</v>
      </c>
      <c r="R17" s="63" t="s">
        <v>3</v>
      </c>
      <c r="S17" s="8" t="str">
        <f ca="1">Q9</f>
        <v/>
      </c>
      <c r="T17" s="258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F18" s="11" t="s">
        <v>6</v>
      </c>
      <c r="G18" s="12" t="s">
        <v>7</v>
      </c>
      <c r="H18" s="11" t="s">
        <v>8</v>
      </c>
      <c r="I18" s="11" t="s">
        <v>9</v>
      </c>
      <c r="J18" s="289"/>
      <c r="K18" s="209" t="s">
        <v>26</v>
      </c>
      <c r="L18" s="210">
        <f>L26*24/1440</f>
        <v>0</v>
      </c>
      <c r="M18" s="211" t="s">
        <v>27</v>
      </c>
      <c r="N18" s="211">
        <f>B2+G2+L2+Q2+B16+G16</f>
        <v>0</v>
      </c>
      <c r="O18" s="258"/>
      <c r="P18" s="46" t="s">
        <v>28</v>
      </c>
      <c r="Q18" s="82">
        <f>Q12+Q13+Q14+Q15+Q16+Q17</f>
        <v>0</v>
      </c>
      <c r="R18" s="33" t="s">
        <v>28</v>
      </c>
      <c r="S18" s="8">
        <f ca="1">L28</f>
        <v>0</v>
      </c>
      <c r="T18" s="258"/>
      <c r="U18" s="115"/>
      <c r="V18" s="116"/>
    </row>
    <row r="19" spans="1:27" ht="15.75" customHeight="1">
      <c r="A19" s="66">
        <f ca="1">TODAY()+TIME(11,0,0)</f>
        <v>46315.458333333336</v>
      </c>
      <c r="B19" s="65">
        <v>0</v>
      </c>
      <c r="C19" s="73">
        <f ca="1">A19-D27</f>
        <v>6.2923148150730412E-2</v>
      </c>
      <c r="D19" s="9">
        <f ca="1">B19*C19</f>
        <v>0</v>
      </c>
      <c r="F19" s="66">
        <f ca="1">TODAY()+TIME(11,0,0)</f>
        <v>46315.458333333336</v>
      </c>
      <c r="G19" s="65">
        <v>0</v>
      </c>
      <c r="H19" s="73">
        <f ca="1">F19-I27</f>
        <v>6.2923148150730412E-2</v>
      </c>
      <c r="I19" s="9">
        <f ca="1">G19*H19</f>
        <v>0</v>
      </c>
      <c r="J19" s="289"/>
      <c r="K19" s="206" t="s">
        <v>6</v>
      </c>
      <c r="L19" s="206" t="s">
        <v>29</v>
      </c>
      <c r="M19" s="207" t="s">
        <v>30</v>
      </c>
      <c r="N19" s="208" t="e">
        <f ca="1">(B3*B10+G3*G10+L3*L10+Q3*Q6+B17*B24+G17*G24)/
(B10+G10+L10+Q6+B24+G24)</f>
        <v>#VALUE!</v>
      </c>
      <c r="O19" s="258"/>
      <c r="P19" s="268"/>
      <c r="Q19" s="268"/>
      <c r="R19" s="268"/>
      <c r="S19" s="269"/>
      <c r="T19" s="258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0.10458981481497176</v>
      </c>
      <c r="D20" s="9">
        <f ca="1">B20*C20</f>
        <v>0</v>
      </c>
      <c r="F20" s="66">
        <f ca="1">TODAY()+TIME(12,0,0)</f>
        <v>46315.5</v>
      </c>
      <c r="G20" s="65">
        <v>0</v>
      </c>
      <c r="H20" s="73">
        <f ca="1">F20-I27</f>
        <v>0.10458981481497176</v>
      </c>
      <c r="I20" s="9">
        <f ca="1">G20*H20</f>
        <v>0</v>
      </c>
      <c r="J20" s="289"/>
      <c r="K20" s="212">
        <f ca="1">TODAY()+TIME(11,0,0)</f>
        <v>46315.458333333336</v>
      </c>
      <c r="L20" s="213">
        <f>G19+B19+B5+G5+L5</f>
        <v>0</v>
      </c>
      <c r="M20" s="214">
        <f ca="1">K20-L25</f>
        <v>6.2923148150730412E-2</v>
      </c>
      <c r="N20" s="215">
        <f ca="1">L20*M20</f>
        <v>0</v>
      </c>
      <c r="O20" s="258"/>
      <c r="P20" s="260" t="s">
        <v>31</v>
      </c>
      <c r="Q20" s="261"/>
      <c r="R20" s="260" t="s">
        <v>32</v>
      </c>
      <c r="S20" s="261"/>
      <c r="T20" s="258"/>
      <c r="U20" s="115"/>
      <c r="V20" s="117"/>
      <c r="X20" s="114"/>
    </row>
    <row r="21" spans="1:27">
      <c r="A21" s="66">
        <f ca="1">TODAY()+TIME(13,0,0)</f>
        <v>46315.541666666664</v>
      </c>
      <c r="B21" s="65">
        <v>0</v>
      </c>
      <c r="C21" s="73">
        <f ca="1">A21-D27</f>
        <v>0.14625648147921311</v>
      </c>
      <c r="D21" s="9">
        <f ca="1">B21*C21</f>
        <v>0</v>
      </c>
      <c r="F21" s="66">
        <f ca="1">TODAY()+TIME(13,0,0)</f>
        <v>46315.541666666664</v>
      </c>
      <c r="G21" s="65">
        <v>0</v>
      </c>
      <c r="H21" s="73">
        <f ca="1">F21-I27</f>
        <v>0.14625648147921311</v>
      </c>
      <c r="I21" s="9">
        <f ca="1">G21*H21</f>
        <v>0</v>
      </c>
      <c r="J21" s="289"/>
      <c r="K21" s="14">
        <f ca="1">TODAY()+TIME(12,0,0)</f>
        <v>46315.5</v>
      </c>
      <c r="L21" s="13">
        <f>G20+B20+B6+G6+L6</f>
        <v>0</v>
      </c>
      <c r="M21" s="15">
        <f ca="1">K21-L25</f>
        <v>0.10458981481497176</v>
      </c>
      <c r="N21" s="54">
        <f ca="1">L21*M21</f>
        <v>0</v>
      </c>
      <c r="O21" s="258"/>
      <c r="P21" s="191" t="s">
        <v>33</v>
      </c>
      <c r="Q21" s="65">
        <v>0</v>
      </c>
      <c r="R21" s="192" t="s">
        <v>34</v>
      </c>
      <c r="S21" s="187">
        <f>Q21/25</f>
        <v>0</v>
      </c>
      <c r="T21" s="258"/>
      <c r="U21" s="115"/>
      <c r="V21" s="117"/>
      <c r="X21" s="114"/>
    </row>
    <row r="22" spans="1:27">
      <c r="A22" s="66">
        <f ca="1">TODAY()+TIME(14,0,0)</f>
        <v>46315.583333333336</v>
      </c>
      <c r="B22" s="65">
        <v>0</v>
      </c>
      <c r="C22" s="73">
        <f ca="1">A22-D27</f>
        <v>0.18792314815073041</v>
      </c>
      <c r="D22" s="9">
        <f ca="1">B22*C22</f>
        <v>0</v>
      </c>
      <c r="F22" s="66">
        <f ca="1">TODAY()+TIME(14,0,0)</f>
        <v>46315.583333333336</v>
      </c>
      <c r="G22" s="65">
        <v>0</v>
      </c>
      <c r="H22" s="73">
        <f ca="1">F22-I27</f>
        <v>0.18792314815073041</v>
      </c>
      <c r="I22" s="9">
        <f ca="1">G22*H22</f>
        <v>0</v>
      </c>
      <c r="J22" s="289"/>
      <c r="K22" s="14">
        <f ca="1">TODAY()+TIME(13,0,0)</f>
        <v>46315.541666666664</v>
      </c>
      <c r="L22" s="13">
        <f>G21+B21+B7+G7+L7</f>
        <v>0</v>
      </c>
      <c r="M22" s="15">
        <f ca="1">K22-L25</f>
        <v>0.14625648147921311</v>
      </c>
      <c r="N22" s="54">
        <f ca="1">L22*M22</f>
        <v>0</v>
      </c>
      <c r="O22" s="258"/>
      <c r="P22" s="181" t="s">
        <v>0</v>
      </c>
      <c r="Q22" s="65">
        <v>0</v>
      </c>
      <c r="R22" s="193" t="s">
        <v>34</v>
      </c>
      <c r="S22" s="194">
        <f>B32</f>
        <v>0</v>
      </c>
      <c r="T22" s="258"/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0.22958981481497176</v>
      </c>
      <c r="D23" s="9">
        <f ca="1">B23*C23</f>
        <v>0</v>
      </c>
      <c r="F23" s="66">
        <f ca="1">TODAY()+TIME(15,0,0)</f>
        <v>46315.625</v>
      </c>
      <c r="G23" s="65">
        <v>0</v>
      </c>
      <c r="H23" s="92">
        <f ca="1">F23-I27</f>
        <v>0.22958981481497176</v>
      </c>
      <c r="I23" s="9">
        <f ca="1">G23*H23</f>
        <v>0</v>
      </c>
      <c r="J23" s="289"/>
      <c r="K23" s="50">
        <f ca="1">TODAY()+TIME(14,0,0)</f>
        <v>46315.583333333336</v>
      </c>
      <c r="L23" s="211">
        <f>G22+B22+B8+G8+L8</f>
        <v>0</v>
      </c>
      <c r="M23" s="127">
        <f ca="1">K23-L25</f>
        <v>0.18792314815073041</v>
      </c>
      <c r="N23" s="128">
        <f ca="1">L23*M23</f>
        <v>0</v>
      </c>
      <c r="O23" s="258"/>
      <c r="P23" s="182" t="s">
        <v>1</v>
      </c>
      <c r="Q23" s="65">
        <v>0</v>
      </c>
      <c r="R23" s="195" t="s">
        <v>34</v>
      </c>
      <c r="S23" s="194">
        <f>G32</f>
        <v>0</v>
      </c>
      <c r="T23" s="258"/>
      <c r="U23" s="115"/>
      <c r="V23" s="117"/>
      <c r="X23" s="114"/>
    </row>
    <row r="24" spans="1:27">
      <c r="A24" s="11" t="s">
        <v>10</v>
      </c>
      <c r="B24" s="9">
        <f ca="1">D23+D22+D21+D20+D19</f>
        <v>0</v>
      </c>
      <c r="C24" s="11" t="s">
        <v>11</v>
      </c>
      <c r="D24" s="6">
        <f>B23+B22+B21+B20+B19</f>
        <v>0</v>
      </c>
      <c r="F24" s="11" t="s">
        <v>10</v>
      </c>
      <c r="G24" s="9">
        <f ca="1">I23+I22+I21+I20+I19</f>
        <v>0</v>
      </c>
      <c r="H24" s="11" t="s">
        <v>11</v>
      </c>
      <c r="I24" s="6">
        <f>G23+G22+G21+G20+G19</f>
        <v>0</v>
      </c>
      <c r="J24" s="289"/>
      <c r="K24" s="216">
        <f ca="1">TODAY()+TIME(15,0,0)</f>
        <v>46315.625</v>
      </c>
      <c r="L24" s="217">
        <f>G23+B23+B9+G9+L9</f>
        <v>0</v>
      </c>
      <c r="M24" s="218">
        <f ca="1">K24-L25</f>
        <v>0.22958981481497176</v>
      </c>
      <c r="N24" s="219">
        <f ca="1">L24*M24</f>
        <v>0</v>
      </c>
      <c r="O24" s="258"/>
      <c r="P24" s="183" t="s">
        <v>2</v>
      </c>
      <c r="Q24" s="65">
        <v>0</v>
      </c>
      <c r="R24" s="196" t="s">
        <v>35</v>
      </c>
      <c r="S24" s="194" t="s">
        <v>36</v>
      </c>
      <c r="T24" s="258"/>
      <c r="U24" s="115"/>
      <c r="V24" s="118"/>
      <c r="X24" s="114"/>
    </row>
    <row r="25" spans="1:27">
      <c r="A25" s="11" t="s">
        <v>12</v>
      </c>
      <c r="B25" s="10" t="e">
        <f>B16/(B20+B21+B22+B23)</f>
        <v>#DIV/0!</v>
      </c>
      <c r="C25" s="136"/>
      <c r="D25" s="138"/>
      <c r="F25" s="11" t="s">
        <v>12</v>
      </c>
      <c r="G25" s="10" t="e">
        <f>G16/(G20+G21+G22+G23)</f>
        <v>#DIV/0!</v>
      </c>
      <c r="H25" s="136"/>
      <c r="I25" s="138"/>
      <c r="J25" s="289"/>
      <c r="K25" s="176" t="s">
        <v>17</v>
      </c>
      <c r="L25" s="212">
        <f ca="1">NOW()</f>
        <v>46315.395410185185</v>
      </c>
      <c r="M25" s="220" t="s">
        <v>37</v>
      </c>
      <c r="N25" s="221" t="str">
        <f ca="1">IF(AA25&lt;0,"-","")&amp;INT(ROUND(ABS(AA25)*1440,0)/60)&amp;":"&amp;TEXT(MOD(ROUND(ABS(AA25)*1440,0),60),"00")</f>
        <v>0:00</v>
      </c>
      <c r="O25" s="258"/>
      <c r="P25" s="185" t="s">
        <v>18</v>
      </c>
      <c r="Q25" s="65">
        <v>0</v>
      </c>
      <c r="R25" s="197" t="s">
        <v>38</v>
      </c>
      <c r="S25" s="194">
        <f>B38</f>
        <v>0</v>
      </c>
      <c r="T25" s="258"/>
      <c r="U25" s="119"/>
      <c r="V25" s="118"/>
      <c r="AA25">
        <f ca="1">N28-IFERROR((B2/B3+G2/G3+L2/L3+B16/B17+G16/G17)/24,0)+L17/24</f>
        <v>0</v>
      </c>
    </row>
    <row r="26" spans="1:27">
      <c r="A26" s="11" t="s">
        <v>13</v>
      </c>
      <c r="B26" s="9" t="e">
        <f>B16/(B17*(B20+B21+B22+B23+B19))/24</f>
        <v>#DIV/0!</v>
      </c>
      <c r="C26" s="137"/>
      <c r="D26" s="139"/>
      <c r="F26" s="11" t="s">
        <v>13</v>
      </c>
      <c r="G26" s="9" t="e">
        <f>G16/(G17*(G20+G21+G22+G23+G19))/24</f>
        <v>#DIV/0!</v>
      </c>
      <c r="H26" s="137"/>
      <c r="I26" s="139"/>
      <c r="J26" s="289"/>
      <c r="K26" s="12" t="s">
        <v>11</v>
      </c>
      <c r="L26" s="205">
        <f>L24+L23+L22+L21+L20</f>
        <v>0</v>
      </c>
      <c r="M26" s="204" t="s">
        <v>39</v>
      </c>
      <c r="N26" s="228" t="str">
        <f ca="1">IF(AA26&lt;0,"-","")&amp;INT(ROUND(ABS(AA26)*1440,0)/60)&amp;":"&amp;TEXT(MOD(ROUND(ABS(AA26)*1440,0),60),"00")</f>
        <v>0:00</v>
      </c>
      <c r="O26" s="258"/>
      <c r="P26" s="184" t="s">
        <v>19</v>
      </c>
      <c r="Q26" s="65">
        <v>0</v>
      </c>
      <c r="R26" s="198" t="s">
        <v>38</v>
      </c>
      <c r="S26" s="194">
        <f>D38</f>
        <v>0</v>
      </c>
      <c r="T26" s="258"/>
      <c r="AA26">
        <f ca="1">AA25-L18</f>
        <v>0</v>
      </c>
    </row>
    <row r="27" spans="1:27">
      <c r="A27" s="47" t="s">
        <v>14</v>
      </c>
      <c r="B27" s="48" t="str">
        <f ca="1">IFERROR(D27+B26+IF(B16&gt;=5000,TIME(0,24,0),0),"")</f>
        <v/>
      </c>
      <c r="C27" s="11" t="s">
        <v>17</v>
      </c>
      <c r="D27" s="8">
        <f ca="1">NOW()</f>
        <v>46315.395410185185</v>
      </c>
      <c r="F27" s="47" t="s">
        <v>14</v>
      </c>
      <c r="G27" s="48" t="str">
        <f ca="1">IFERROR(I27+G26+IF(G16&gt;=5000,TIME(0,24,0),0),"")</f>
        <v/>
      </c>
      <c r="H27" s="11" t="s">
        <v>17</v>
      </c>
      <c r="I27" s="8">
        <f ca="1">NOW()</f>
        <v>46315.395410185185</v>
      </c>
      <c r="J27" s="289"/>
      <c r="K27" s="12" t="s">
        <v>12</v>
      </c>
      <c r="L27" s="16" t="e">
        <f>N17/(L21+L22+L23+L24)</f>
        <v>#DIV/0!</v>
      </c>
      <c r="M27" s="204" t="s">
        <v>40</v>
      </c>
      <c r="N27" s="227">
        <f ca="1">ABS(AA26+AA25)/2</f>
        <v>0</v>
      </c>
      <c r="O27" s="258"/>
      <c r="P27" s="180" t="s">
        <v>3</v>
      </c>
      <c r="Q27" s="65">
        <v>0</v>
      </c>
      <c r="R27" s="199" t="s">
        <v>34</v>
      </c>
      <c r="S27" s="194">
        <f>L39</f>
        <v>0</v>
      </c>
      <c r="T27" s="258"/>
    </row>
    <row r="28" spans="1:27">
      <c r="A28" s="274"/>
      <c r="B28" s="274"/>
      <c r="C28" s="274"/>
      <c r="D28" s="274"/>
      <c r="F28" s="274"/>
      <c r="G28" s="274"/>
      <c r="H28" s="274"/>
      <c r="I28" s="275"/>
      <c r="J28" s="289"/>
      <c r="K28" s="49" t="s">
        <v>14</v>
      </c>
      <c r="L28" s="50">
        <f ca="1">MAX(IFERROR(B27*1,0),IFERROR(G27*1,0),IFERROR(L13*1,0),IFERROR(G13*1,0),IFERROR(B13*1,0),IFERROR(Q9*1,0))</f>
        <v>0</v>
      </c>
      <c r="M28" s="12" t="s">
        <v>10</v>
      </c>
      <c r="N28" s="15">
        <f ca="1">N21+N22+N23+N24+N20</f>
        <v>0</v>
      </c>
      <c r="O28" s="258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258"/>
    </row>
    <row r="29" spans="1:27">
      <c r="A29" s="280" t="s">
        <v>0</v>
      </c>
      <c r="B29" s="281"/>
      <c r="C29" s="281"/>
      <c r="D29" s="282"/>
      <c r="F29" s="277" t="s">
        <v>1</v>
      </c>
      <c r="G29" s="278"/>
      <c r="H29" s="278"/>
      <c r="I29" s="279"/>
      <c r="J29" s="289"/>
      <c r="K29" s="49" t="s">
        <v>41</v>
      </c>
      <c r="L29" s="50">
        <f ca="1">L28+(L18/24)</f>
        <v>0</v>
      </c>
      <c r="M29" s="12" t="s">
        <v>42</v>
      </c>
      <c r="N29" s="229" t="e">
        <f ca="1">N17/L16/24</f>
        <v>#DIV/0!</v>
      </c>
      <c r="O29" s="258"/>
      <c r="P29" s="173" t="s">
        <v>43</v>
      </c>
      <c r="Q29" s="194" t="e">
        <f>Q28/L26</f>
        <v>#DIV/0!</v>
      </c>
      <c r="R29" s="173" t="s">
        <v>43</v>
      </c>
      <c r="S29" s="187" t="e">
        <f>S28/L26</f>
        <v>#DIV/0!</v>
      </c>
      <c r="T29" s="258"/>
    </row>
    <row r="30" spans="1:27" ht="15.75" customHeight="1">
      <c r="A30" s="17" t="s">
        <v>44</v>
      </c>
      <c r="B30" s="6">
        <f>B2</f>
        <v>0</v>
      </c>
      <c r="C30" s="11" t="s">
        <v>11</v>
      </c>
      <c r="D30" s="6">
        <f>D10</f>
        <v>0</v>
      </c>
      <c r="F30" s="17" t="s">
        <v>44</v>
      </c>
      <c r="G30" s="6">
        <f>G2</f>
        <v>0</v>
      </c>
      <c r="H30" s="11" t="s">
        <v>11</v>
      </c>
      <c r="I30" s="6">
        <f>I10</f>
        <v>0</v>
      </c>
      <c r="J30" s="289"/>
      <c r="K30" s="226" t="s">
        <v>45</v>
      </c>
      <c r="L30" s="225">
        <f ca="1">AVERAGE(L28,L29)</f>
        <v>0</v>
      </c>
      <c r="M30" s="12" t="s">
        <v>46</v>
      </c>
      <c r="N30" s="9">
        <f>MAX(IFERROR(B26*1,0),IFERROR(G26*1,0),IFERROR(L12*1,0),IFERROR(G12*1,0),IFERROR(B12*1,0),IFERROR(Q8*1,0))</f>
        <v>0</v>
      </c>
      <c r="O30" s="258"/>
      <c r="P30" s="266"/>
      <c r="Q30" s="267"/>
      <c r="R30" s="267"/>
      <c r="S30" s="267"/>
      <c r="T30" s="258"/>
    </row>
    <row r="31" spans="1:27">
      <c r="A31" s="17" t="s">
        <v>47</v>
      </c>
      <c r="B31" s="6">
        <f>Q22</f>
        <v>0</v>
      </c>
      <c r="C31" s="136"/>
      <c r="D31" s="138"/>
      <c r="F31" s="17" t="s">
        <v>47</v>
      </c>
      <c r="G31" s="6">
        <f>Q23</f>
        <v>0</v>
      </c>
      <c r="H31" s="136"/>
      <c r="I31" s="138"/>
      <c r="J31" s="289"/>
      <c r="K31" s="276"/>
      <c r="L31" s="276"/>
      <c r="M31" s="276"/>
      <c r="N31" s="276"/>
      <c r="O31" s="258"/>
      <c r="P31" s="178" t="s">
        <v>48</v>
      </c>
      <c r="Q31" s="179"/>
      <c r="R31" s="255" t="s">
        <v>49</v>
      </c>
      <c r="S31" s="256"/>
      <c r="T31" s="258"/>
    </row>
    <row r="32" spans="1:27">
      <c r="A32" s="17" t="s">
        <v>50</v>
      </c>
      <c r="B32" s="18">
        <f>B31/9</f>
        <v>0</v>
      </c>
      <c r="C32" s="137"/>
      <c r="D32" s="139"/>
      <c r="F32" s="17" t="s">
        <v>50</v>
      </c>
      <c r="G32" s="18">
        <f>G31/9</f>
        <v>0</v>
      </c>
      <c r="H32" s="137"/>
      <c r="I32" s="139"/>
      <c r="J32" s="289"/>
      <c r="K32" s="251" t="s">
        <v>2</v>
      </c>
      <c r="L32" s="252"/>
      <c r="M32" s="252"/>
      <c r="N32" s="252"/>
      <c r="O32" s="258"/>
      <c r="P32" s="262" t="s">
        <v>0</v>
      </c>
      <c r="Q32" s="262"/>
      <c r="R32" s="74" t="s">
        <v>34</v>
      </c>
      <c r="S32" s="170" t="e">
        <f>S22/D10</f>
        <v>#DIV/0!</v>
      </c>
      <c r="T32" s="258"/>
    </row>
    <row r="33" spans="1:20">
      <c r="A33" s="17" t="s">
        <v>51</v>
      </c>
      <c r="B33" s="18" t="e">
        <f>B32/D10</f>
        <v>#DIV/0!</v>
      </c>
      <c r="C33" s="140"/>
      <c r="D33" s="141"/>
      <c r="F33" s="17" t="s">
        <v>51</v>
      </c>
      <c r="G33" s="18" t="e">
        <f>G32/I10</f>
        <v>#DIV/0!</v>
      </c>
      <c r="H33" s="140"/>
      <c r="I33" s="141"/>
      <c r="J33" s="289"/>
      <c r="K33" s="17" t="s">
        <v>44</v>
      </c>
      <c r="L33" s="6">
        <f>L2</f>
        <v>0</v>
      </c>
      <c r="M33" s="11" t="s">
        <v>11</v>
      </c>
      <c r="N33" s="57">
        <f>N10</f>
        <v>0</v>
      </c>
      <c r="O33" s="258"/>
      <c r="P33" s="263" t="s">
        <v>1</v>
      </c>
      <c r="Q33" s="263"/>
      <c r="R33" s="75" t="s">
        <v>34</v>
      </c>
      <c r="S33" s="170" t="e">
        <f>S23/I10</f>
        <v>#DIV/0!</v>
      </c>
      <c r="T33" s="258"/>
    </row>
    <row r="34" spans="1:20">
      <c r="A34" s="264"/>
      <c r="B34" s="265"/>
      <c r="C34" s="265"/>
      <c r="D34" s="270"/>
      <c r="F34" s="264"/>
      <c r="G34" s="265"/>
      <c r="H34" s="265"/>
      <c r="I34" s="270"/>
      <c r="J34" s="289"/>
      <c r="K34" s="17" t="s">
        <v>52</v>
      </c>
      <c r="L34" s="6">
        <f>Q24</f>
        <v>0</v>
      </c>
      <c r="M34" s="17" t="s">
        <v>43</v>
      </c>
      <c r="N34" s="18" t="e">
        <f>L34/N10</f>
        <v>#DIV/0!</v>
      </c>
      <c r="O34" s="258"/>
      <c r="P34" s="259" t="s">
        <v>2</v>
      </c>
      <c r="Q34" s="259"/>
      <c r="R34" s="76" t="s">
        <v>53</v>
      </c>
      <c r="S34" s="170" t="e">
        <f>N34</f>
        <v>#DIV/0!</v>
      </c>
      <c r="T34" s="258"/>
    </row>
    <row r="35" spans="1:20">
      <c r="A35" s="245" t="s">
        <v>18</v>
      </c>
      <c r="B35" s="246"/>
      <c r="C35" s="246"/>
      <c r="D35" s="247"/>
      <c r="F35" s="248" t="s">
        <v>54</v>
      </c>
      <c r="G35" s="249"/>
      <c r="H35" s="249"/>
      <c r="I35" s="250"/>
      <c r="J35" s="289"/>
      <c r="K35" s="264"/>
      <c r="L35" s="265"/>
      <c r="M35" s="265"/>
      <c r="N35" s="265"/>
      <c r="O35" s="258"/>
      <c r="P35" s="305" t="s">
        <v>18</v>
      </c>
      <c r="Q35" s="305"/>
      <c r="R35" s="77" t="s">
        <v>38</v>
      </c>
      <c r="S35" s="170" t="e">
        <f>S25/D24</f>
        <v>#DIV/0!</v>
      </c>
      <c r="T35" s="258"/>
    </row>
    <row r="36" spans="1:20">
      <c r="A36" s="17" t="s">
        <v>44</v>
      </c>
      <c r="B36" s="6">
        <f>B16</f>
        <v>0</v>
      </c>
      <c r="C36" s="11" t="s">
        <v>11</v>
      </c>
      <c r="D36" s="6">
        <f>D16</f>
        <v>0</v>
      </c>
      <c r="F36" s="17" t="s">
        <v>44</v>
      </c>
      <c r="G36" s="6">
        <f>G16</f>
        <v>0</v>
      </c>
      <c r="H36" s="11" t="s">
        <v>11</v>
      </c>
      <c r="I36" s="6">
        <f>I16</f>
        <v>0</v>
      </c>
      <c r="J36" s="289"/>
      <c r="K36" s="253" t="s">
        <v>3</v>
      </c>
      <c r="L36" s="254"/>
      <c r="M36" s="254"/>
      <c r="N36" s="254"/>
      <c r="O36" s="258"/>
      <c r="P36" s="306" t="s">
        <v>19</v>
      </c>
      <c r="Q36" s="306"/>
      <c r="R36" s="78" t="s">
        <v>38</v>
      </c>
      <c r="S36" s="170" t="e">
        <f>S26/I24</f>
        <v>#DIV/0!</v>
      </c>
      <c r="T36" s="258"/>
    </row>
    <row r="37" spans="1:20">
      <c r="A37" s="17" t="s">
        <v>47</v>
      </c>
      <c r="B37" s="6">
        <f>Q25</f>
        <v>0</v>
      </c>
      <c r="C37" s="136"/>
      <c r="D37" s="138"/>
      <c r="F37" s="17" t="s">
        <v>47</v>
      </c>
      <c r="G37" s="6">
        <f>Q26</f>
        <v>0</v>
      </c>
      <c r="H37" s="157"/>
      <c r="I37" s="158"/>
      <c r="J37" s="289"/>
      <c r="K37" s="17" t="s">
        <v>44</v>
      </c>
      <c r="L37" s="6">
        <f>Q2</f>
        <v>0</v>
      </c>
      <c r="M37" s="11" t="s">
        <v>11</v>
      </c>
      <c r="N37" s="57">
        <f>S6</f>
        <v>0</v>
      </c>
      <c r="O37" s="258"/>
      <c r="P37" s="307" t="s">
        <v>3</v>
      </c>
      <c r="Q37" s="307"/>
      <c r="R37" s="177" t="s">
        <v>34</v>
      </c>
      <c r="S37" s="171" t="e">
        <f>S27/S6</f>
        <v>#DIV/0!</v>
      </c>
      <c r="T37" s="258"/>
    </row>
    <row r="38" spans="1:20" ht="15" customHeight="1">
      <c r="A38" s="17" t="s">
        <v>55</v>
      </c>
      <c r="B38" s="18">
        <f>B37/10</f>
        <v>0</v>
      </c>
      <c r="C38" s="137"/>
      <c r="D38" s="139"/>
      <c r="F38" s="17" t="s">
        <v>55</v>
      </c>
      <c r="G38" s="18">
        <f>G37/10</f>
        <v>0</v>
      </c>
      <c r="H38" s="159"/>
      <c r="I38" s="160"/>
      <c r="J38" s="289"/>
      <c r="K38" s="17" t="s">
        <v>47</v>
      </c>
      <c r="L38" s="6">
        <f>Q27</f>
        <v>0</v>
      </c>
      <c r="M38" s="295"/>
      <c r="N38" s="296"/>
      <c r="O38" s="258"/>
      <c r="P38" s="297">
        <f ca="1">NOW()</f>
        <v>46315.395410185185</v>
      </c>
      <c r="Q38" s="299" t="s">
        <v>56</v>
      </c>
      <c r="R38" s="301">
        <f ca="1">I27</f>
        <v>46315.395410185185</v>
      </c>
      <c r="S38" s="302"/>
      <c r="T38" s="258"/>
    </row>
    <row r="39" spans="1:20" ht="15" customHeight="1">
      <c r="A39" s="17" t="s">
        <v>57</v>
      </c>
      <c r="B39" s="18" t="e">
        <f>B38/D24</f>
        <v>#DIV/0!</v>
      </c>
      <c r="C39" s="140"/>
      <c r="D39" s="141"/>
      <c r="F39" s="17" t="s">
        <v>57</v>
      </c>
      <c r="G39" s="18" t="e">
        <f>G38/I24</f>
        <v>#DIV/0!</v>
      </c>
      <c r="H39" s="161"/>
      <c r="I39" s="162"/>
      <c r="J39" s="289"/>
      <c r="K39" s="17" t="s">
        <v>50</v>
      </c>
      <c r="L39" s="18">
        <f>L38/16</f>
        <v>0</v>
      </c>
      <c r="M39" s="17" t="s">
        <v>51</v>
      </c>
      <c r="N39" s="18" t="e">
        <f>L39/N37</f>
        <v>#DIV/0!</v>
      </c>
      <c r="O39" s="258"/>
      <c r="P39" s="298"/>
      <c r="Q39" s="300"/>
      <c r="R39" s="303"/>
      <c r="S39" s="304"/>
      <c r="T39" s="274"/>
    </row>
    <row r="40" spans="1:20">
      <c r="A40" s="288"/>
      <c r="B40" s="257"/>
      <c r="C40" s="257"/>
      <c r="D40" s="294"/>
      <c r="F40" s="288"/>
      <c r="G40" s="257"/>
      <c r="H40" s="257"/>
      <c r="I40" s="294"/>
      <c r="J40" s="289"/>
      <c r="K40" s="288"/>
      <c r="L40" s="257"/>
      <c r="M40" s="257"/>
      <c r="N40" s="257"/>
      <c r="O40" s="258"/>
      <c r="P40" s="289"/>
      <c r="Q40" s="258"/>
      <c r="R40" s="258"/>
      <c r="S40" s="258"/>
      <c r="T40" s="29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49">
    <mergeCell ref="T1:T39"/>
    <mergeCell ref="R38:S39"/>
    <mergeCell ref="P35:Q35"/>
    <mergeCell ref="P36:Q36"/>
    <mergeCell ref="P37:Q37"/>
    <mergeCell ref="R7:S9"/>
    <mergeCell ref="R20:S20"/>
    <mergeCell ref="A1:D1"/>
    <mergeCell ref="F1:I1"/>
    <mergeCell ref="P1:S1"/>
    <mergeCell ref="C2:D3"/>
    <mergeCell ref="M2:N3"/>
    <mergeCell ref="R2:S3"/>
    <mergeCell ref="J1:J40"/>
    <mergeCell ref="A14:D14"/>
    <mergeCell ref="P40:T40"/>
    <mergeCell ref="K40:N40"/>
    <mergeCell ref="F40:I40"/>
    <mergeCell ref="A40:D40"/>
    <mergeCell ref="A34:D34"/>
    <mergeCell ref="M38:N38"/>
    <mergeCell ref="P38:P39"/>
    <mergeCell ref="Q38:Q39"/>
    <mergeCell ref="A28:D28"/>
    <mergeCell ref="F28:I28"/>
    <mergeCell ref="F34:I34"/>
    <mergeCell ref="F14:I14"/>
    <mergeCell ref="K14:N14"/>
    <mergeCell ref="K31:N31"/>
    <mergeCell ref="A15:D15"/>
    <mergeCell ref="F15:I15"/>
    <mergeCell ref="F29:I29"/>
    <mergeCell ref="A29:D29"/>
    <mergeCell ref="A35:D35"/>
    <mergeCell ref="F35:I35"/>
    <mergeCell ref="K32:N32"/>
    <mergeCell ref="K36:N36"/>
    <mergeCell ref="R31:S31"/>
    <mergeCell ref="O1:O40"/>
    <mergeCell ref="P34:Q34"/>
    <mergeCell ref="P20:Q20"/>
    <mergeCell ref="P32:Q32"/>
    <mergeCell ref="P33:Q33"/>
    <mergeCell ref="K35:N35"/>
    <mergeCell ref="P30:S30"/>
    <mergeCell ref="P19:S19"/>
    <mergeCell ref="P10:S10"/>
    <mergeCell ref="K1:N1"/>
    <mergeCell ref="R11:S11"/>
  </mergeCells>
  <conditionalFormatting sqref="S12:S17">
    <cfRule type="cellIs" dxfId="84" priority="24" operator="equal">
      <formula>$S$18</formula>
    </cfRule>
  </conditionalFormatting>
  <conditionalFormatting sqref="N17:N18">
    <cfRule type="cellIs" dxfId="83" priority="21" stopIfTrue="1" operator="greaterThan">
      <formula>$N$16</formula>
    </cfRule>
  </conditionalFormatting>
  <conditionalFormatting sqref="N15">
    <cfRule type="cellIs" dxfId="82" priority="20" operator="greaterThan">
      <formula>$N$17</formula>
    </cfRule>
  </conditionalFormatting>
  <conditionalFormatting sqref="N17">
    <cfRule type="cellIs" dxfId="81" priority="19" operator="lessThan">
      <formula>$N$16</formula>
    </cfRule>
  </conditionalFormatting>
  <conditionalFormatting sqref="N15">
    <cfRule type="cellIs" dxfId="80" priority="18" operator="equal">
      <formula>$N$17</formula>
    </cfRule>
  </conditionalFormatting>
  <conditionalFormatting sqref="N15">
    <cfRule type="cellIs" dxfId="79" priority="17" operator="lessThan">
      <formula>$N$17</formula>
    </cfRule>
  </conditionalFormatting>
  <conditionalFormatting sqref="N18">
    <cfRule type="cellIs" dxfId="78" priority="16" operator="lessThan">
      <formula>$N$16</formula>
    </cfRule>
  </conditionalFormatting>
  <conditionalFormatting sqref="N18">
    <cfRule type="cellIs" dxfId="77" priority="15" operator="equal">
      <formula>$N$17</formula>
    </cfRule>
  </conditionalFormatting>
  <conditionalFormatting sqref="N19">
    <cfRule type="containsErrors" dxfId="76" priority="14">
      <formula>ISERROR(N19)</formula>
    </cfRule>
  </conditionalFormatting>
  <conditionalFormatting sqref="L15">
    <cfRule type="containsText" dxfId="75" priority="13" operator="containsText" text="-">
      <formula>NOT(ISERROR(SEARCH("-",L15)))</formula>
    </cfRule>
  </conditionalFormatting>
  <conditionalFormatting sqref="L15">
    <cfRule type="notContainsText" dxfId="74" priority="12" operator="notContains" text="-">
      <formula>ISERROR(SEARCH("-",L15))</formula>
    </cfRule>
  </conditionalFormatting>
  <conditionalFormatting sqref="L15">
    <cfRule type="cellIs" dxfId="73" priority="11" operator="equal">
      <formula>0</formula>
    </cfRule>
  </conditionalFormatting>
  <conditionalFormatting sqref="N26">
    <cfRule type="containsText" dxfId="72" priority="9" operator="containsText" text="-">
      <formula>NOT(ISERROR(SEARCH("-",N26)))</formula>
    </cfRule>
    <cfRule type="cellIs" dxfId="71" priority="10" operator="greaterThan">
      <formula>0</formula>
    </cfRule>
  </conditionalFormatting>
  <conditionalFormatting sqref="N25">
    <cfRule type="containsText" dxfId="70" priority="7" operator="containsText" text="-">
      <formula>NOT(ISERROR(SEARCH("-",N25)))</formula>
    </cfRule>
  </conditionalFormatting>
  <conditionalFormatting sqref="N25">
    <cfRule type="cellIs" dxfId="69" priority="8" operator="greaterThan">
      <formula>0</formula>
    </cfRule>
  </conditionalFormatting>
  <conditionalFormatting sqref="L15">
    <cfRule type="containsErrors" dxfId="68" priority="6">
      <formula>ISERROR(L15)</formula>
    </cfRule>
  </conditionalFormatting>
  <conditionalFormatting sqref="N25">
    <cfRule type="containsText" dxfId="67" priority="5" operator="containsText" text="0:00">
      <formula>NOT(ISERROR(SEARCH("0:00",N25)))</formula>
    </cfRule>
  </conditionalFormatting>
  <conditionalFormatting sqref="N26">
    <cfRule type="containsText" dxfId="66" priority="4" operator="containsText" text="0:00">
      <formula>NOT(ISERROR(SEARCH("0:00",N26)))</formula>
    </cfRule>
  </conditionalFormatting>
  <conditionalFormatting sqref="N27">
    <cfRule type="cellIs" dxfId="65" priority="3" operator="greaterThan">
      <formula>0</formula>
    </cfRule>
  </conditionalFormatting>
  <conditionalFormatting sqref="N27">
    <cfRule type="cellIs" dxfId="64" priority="2" operator="equal">
      <formula>0</formula>
    </cfRule>
  </conditionalFormatting>
  <conditionalFormatting sqref="N27">
    <cfRule type="containsText" dxfId="63" priority="1" operator="containsText" text="-">
      <formula>NOT(ISERROR(SEARCH("-",N27)))</formula>
    </cfRule>
  </conditionalFormatting>
  <conditionalFormatting sqref="N29">
    <cfRule type="cellIs" dxfId="62" priority="22" operator="greaterThan">
      <formula>$N$28</formula>
    </cfRule>
  </conditionalFormatting>
  <conditionalFormatting sqref="N29">
    <cfRule type="cellIs" dxfId="61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43F2-EFBF-4316-8678-E634894A97C0}">
  <sheetPr>
    <tabColor rgb="FF00B0F0"/>
  </sheetPr>
  <dimension ref="A1:T65"/>
  <sheetViews>
    <sheetView showGridLines="0" showRowColHeaders="0" workbookViewId="0">
      <selection activeCell="Q24" sqref="Q24"/>
    </sheetView>
  </sheetViews>
  <sheetFormatPr defaultRowHeight="15"/>
  <cols>
    <col min="1" max="1" width="25.28515625" customWidth="1"/>
    <col min="2" max="2" width="10.42578125" customWidth="1"/>
    <col min="3" max="3" width="19.85546875" customWidth="1"/>
    <col min="4" max="4" width="23" customWidth="1"/>
    <col min="5" max="5" width="2.7109375" customWidth="1"/>
    <col min="6" max="6" width="25.28515625" customWidth="1"/>
    <col min="7" max="7" width="10.42578125" customWidth="1"/>
    <col min="8" max="8" width="19.85546875" customWidth="1"/>
    <col min="9" max="9" width="23" customWidth="1"/>
    <col min="10" max="10" width="2.7109375" customWidth="1"/>
    <col min="11" max="11" width="25.28515625" customWidth="1"/>
    <col min="12" max="12" width="10.42578125" customWidth="1"/>
    <col min="13" max="13" width="19.85546875" customWidth="1"/>
    <col min="14" max="14" width="23" customWidth="1"/>
    <col min="15" max="15" width="2.7109375" customWidth="1"/>
    <col min="16" max="16" width="25.28515625" customWidth="1"/>
    <col min="17" max="17" width="10.42578125" customWidth="1"/>
    <col min="18" max="18" width="19.85546875" customWidth="1"/>
    <col min="19" max="19" width="23" customWidth="1"/>
    <col min="20" max="20" width="2.7109375" customWidth="1"/>
  </cols>
  <sheetData>
    <row r="1" spans="1:20">
      <c r="A1" s="310" t="s">
        <v>0</v>
      </c>
      <c r="B1" s="310"/>
      <c r="C1" s="310"/>
      <c r="D1" s="310"/>
      <c r="E1" s="2"/>
      <c r="F1" s="311" t="s">
        <v>1</v>
      </c>
      <c r="G1" s="311"/>
      <c r="H1" s="311"/>
      <c r="I1" s="311"/>
      <c r="J1" s="2"/>
      <c r="K1" s="312" t="s">
        <v>2</v>
      </c>
      <c r="L1" s="312"/>
      <c r="M1" s="312"/>
      <c r="N1" s="312"/>
      <c r="O1" s="2"/>
      <c r="P1" s="313" t="s">
        <v>3</v>
      </c>
      <c r="Q1" s="313"/>
      <c r="R1" s="313"/>
      <c r="S1" s="313"/>
      <c r="T1" s="2"/>
    </row>
    <row r="2" spans="1:20">
      <c r="A2" s="11" t="s">
        <v>4</v>
      </c>
      <c r="B2" s="6">
        <f>Q19</f>
        <v>5065</v>
      </c>
      <c r="C2" s="314"/>
      <c r="D2" s="314"/>
      <c r="E2" s="2"/>
      <c r="F2" s="11" t="s">
        <v>4</v>
      </c>
      <c r="G2" s="6">
        <f>Q20</f>
        <v>997</v>
      </c>
      <c r="H2" s="315"/>
      <c r="I2" s="315"/>
      <c r="J2" s="2"/>
      <c r="K2" s="6" t="s">
        <v>4</v>
      </c>
      <c r="L2" s="6">
        <f>Q21</f>
        <v>440</v>
      </c>
      <c r="M2" s="314"/>
      <c r="N2" s="314"/>
      <c r="O2" s="2"/>
      <c r="P2" s="6" t="s">
        <v>4</v>
      </c>
      <c r="Q2" s="6">
        <f>Q24</f>
        <v>0</v>
      </c>
      <c r="R2" s="314"/>
      <c r="S2" s="314"/>
      <c r="T2" s="2"/>
    </row>
    <row r="3" spans="1:20">
      <c r="A3" s="11" t="s">
        <v>5</v>
      </c>
      <c r="B3" s="6">
        <f>'Keräysteho kplh'!B2</f>
        <v>178</v>
      </c>
      <c r="C3" s="314"/>
      <c r="D3" s="314"/>
      <c r="E3" s="2"/>
      <c r="F3" s="11" t="s">
        <v>5</v>
      </c>
      <c r="G3" s="6">
        <f>'Keräysteho kplh'!B3</f>
        <v>73</v>
      </c>
      <c r="H3" s="315"/>
      <c r="I3" s="315"/>
      <c r="J3" s="2"/>
      <c r="K3" s="6" t="s">
        <v>5</v>
      </c>
      <c r="L3" s="6">
        <f>'Keräysteho kplh'!B4</f>
        <v>108</v>
      </c>
      <c r="M3" s="314"/>
      <c r="N3" s="314"/>
      <c r="O3" s="2"/>
      <c r="P3" s="6" t="s">
        <v>5</v>
      </c>
      <c r="Q3" s="6">
        <f>'Keräysteho kplh'!B7</f>
        <v>32</v>
      </c>
      <c r="R3" s="314"/>
      <c r="S3" s="314"/>
      <c r="T3" s="2"/>
    </row>
    <row r="4" spans="1:20">
      <c r="A4" s="7"/>
      <c r="B4" s="7"/>
      <c r="C4" s="314"/>
      <c r="D4" s="314"/>
      <c r="E4" s="2"/>
      <c r="F4" s="316"/>
      <c r="G4" s="316"/>
      <c r="H4" s="315"/>
      <c r="I4" s="315"/>
      <c r="J4" s="2"/>
      <c r="K4" s="316"/>
      <c r="L4" s="316"/>
      <c r="M4" s="314"/>
      <c r="N4" s="314"/>
      <c r="O4" s="2"/>
      <c r="P4" s="316"/>
      <c r="Q4" s="316"/>
      <c r="R4" s="314"/>
      <c r="S4" s="314"/>
      <c r="T4" s="2"/>
    </row>
    <row r="5" spans="1:20">
      <c r="A5" s="11" t="s">
        <v>6</v>
      </c>
      <c r="B5" s="80"/>
      <c r="C5" s="11" t="s">
        <v>8</v>
      </c>
      <c r="D5" s="11" t="s">
        <v>9</v>
      </c>
      <c r="E5" s="5"/>
      <c r="F5" s="11" t="s">
        <v>6</v>
      </c>
      <c r="G5" s="80"/>
      <c r="H5" s="11" t="s">
        <v>8</v>
      </c>
      <c r="I5" s="11" t="s">
        <v>9</v>
      </c>
      <c r="J5" s="5"/>
      <c r="K5" s="11" t="s">
        <v>6</v>
      </c>
      <c r="L5" s="80"/>
      <c r="M5" s="11" t="s">
        <v>8</v>
      </c>
      <c r="N5" s="11" t="s">
        <v>9</v>
      </c>
      <c r="O5" s="2"/>
      <c r="P5" s="11" t="s">
        <v>6</v>
      </c>
      <c r="Q5" s="80"/>
      <c r="R5" s="11" t="s">
        <v>8</v>
      </c>
      <c r="S5" s="11" t="s">
        <v>9</v>
      </c>
      <c r="T5" s="2"/>
    </row>
    <row r="6" spans="1:20">
      <c r="A6" s="66">
        <f ca="1">TODAY()+TIME(12,0,0)</f>
        <v>46315.5</v>
      </c>
      <c r="B6" s="65">
        <v>1</v>
      </c>
      <c r="C6" s="73">
        <f ca="1">A6-B11</f>
        <v>0.10458981481497176</v>
      </c>
      <c r="D6" s="9">
        <f ca="1">B6*C6</f>
        <v>0.10458981481497176</v>
      </c>
      <c r="E6" s="3"/>
      <c r="F6" s="66">
        <f ca="1">TODAY()+TIME(12,0,0)</f>
        <v>46315.5</v>
      </c>
      <c r="G6" s="65">
        <v>3</v>
      </c>
      <c r="H6" s="73">
        <f ca="1">F6-G11</f>
        <v>0.10458981481497176</v>
      </c>
      <c r="I6" s="9">
        <f ca="1">G6*H6</f>
        <v>0.31376944444491528</v>
      </c>
      <c r="J6" s="3"/>
      <c r="K6" s="66">
        <f ca="1">TODAY()+TIME(12,0,0)</f>
        <v>46315.5</v>
      </c>
      <c r="L6" s="65">
        <v>0</v>
      </c>
      <c r="M6" s="73">
        <f ca="1">K6-L11</f>
        <v>0.10458981481497176</v>
      </c>
      <c r="N6" s="9">
        <f ca="1">L6*M6</f>
        <v>0</v>
      </c>
      <c r="O6" s="4"/>
      <c r="P6" s="66">
        <f ca="1">TODAY()+TIME(12,0,0)</f>
        <v>46315.5</v>
      </c>
      <c r="Q6" s="65">
        <v>2</v>
      </c>
      <c r="R6" s="73">
        <f ca="1">P6-Q11</f>
        <v>0.10458981481497176</v>
      </c>
      <c r="S6" s="9">
        <f ca="1">Q6*R6</f>
        <v>0.20917962962994352</v>
      </c>
      <c r="T6" s="2"/>
    </row>
    <row r="7" spans="1:20">
      <c r="A7" s="66">
        <f ca="1">TODAY()+TIME(13,0,0)</f>
        <v>46315.541666666664</v>
      </c>
      <c r="B7" s="65">
        <v>6</v>
      </c>
      <c r="C7" s="73">
        <f ca="1">A7-B11</f>
        <v>0.14625648147921311</v>
      </c>
      <c r="D7" s="9">
        <f ca="1">B7*C7</f>
        <v>0.87753888887527864</v>
      </c>
      <c r="E7" s="3"/>
      <c r="F7" s="66">
        <f ca="1">TODAY()+TIME(13,0,0)</f>
        <v>46315.541666666664</v>
      </c>
      <c r="G7" s="65">
        <v>8</v>
      </c>
      <c r="H7" s="73">
        <f ca="1">F7-G11</f>
        <v>0.14625648147921311</v>
      </c>
      <c r="I7" s="9">
        <f ca="1">G7*H7</f>
        <v>1.1700518518337049</v>
      </c>
      <c r="J7" s="3"/>
      <c r="K7" s="66">
        <f ca="1">TODAY()+TIME(13,0,0)</f>
        <v>46315.541666666664</v>
      </c>
      <c r="L7" s="65">
        <v>3</v>
      </c>
      <c r="M7" s="73">
        <f ca="1">K7-L11</f>
        <v>0.14625648147921311</v>
      </c>
      <c r="N7" s="9">
        <f ca="1">L7*M7</f>
        <v>0.43876944443763932</v>
      </c>
      <c r="O7" s="4"/>
      <c r="P7" s="66">
        <f ca="1">TODAY()+TIME(13,0,0)</f>
        <v>46315.541666666664</v>
      </c>
      <c r="Q7" s="65">
        <v>0</v>
      </c>
      <c r="R7" s="73">
        <f ca="1">P7-Q11</f>
        <v>0.14625648147921311</v>
      </c>
      <c r="S7" s="9">
        <f ca="1">Q7*R7</f>
        <v>0</v>
      </c>
      <c r="T7" s="2"/>
    </row>
    <row r="8" spans="1:20">
      <c r="A8" s="66">
        <f ca="1">TODAY()+TIME(14,0,0)</f>
        <v>46315.583333333336</v>
      </c>
      <c r="B8" s="65">
        <v>0</v>
      </c>
      <c r="C8" s="73">
        <f ca="1">A8-B11</f>
        <v>0.18792314815073041</v>
      </c>
      <c r="D8" s="9">
        <f ca="1">B8*C8</f>
        <v>0</v>
      </c>
      <c r="E8" s="3"/>
      <c r="F8" s="66">
        <f ca="1">TODAY()+TIME(14,0,0)</f>
        <v>46315.583333333336</v>
      </c>
      <c r="G8" s="65">
        <v>1</v>
      </c>
      <c r="H8" s="73">
        <f ca="1">F8-G11</f>
        <v>0.18792314815073041</v>
      </c>
      <c r="I8" s="9">
        <f ca="1">G8*H8</f>
        <v>0.18792314815073041</v>
      </c>
      <c r="J8" s="3"/>
      <c r="K8" s="66">
        <f ca="1">TODAY()+TIME(14,0,0)</f>
        <v>46315.583333333336</v>
      </c>
      <c r="L8" s="65">
        <v>0</v>
      </c>
      <c r="M8" s="73">
        <f ca="1">K8-L11</f>
        <v>0.18792314815073041</v>
      </c>
      <c r="N8" s="9">
        <f ca="1">L8*M8</f>
        <v>0</v>
      </c>
      <c r="O8" s="4"/>
      <c r="P8" s="66">
        <f ca="1">TODAY()+TIME(14,0,0)</f>
        <v>46315.583333333336</v>
      </c>
      <c r="Q8" s="65">
        <v>0</v>
      </c>
      <c r="R8" s="73">
        <f ca="1">P8-Q11</f>
        <v>0.18792314815073041</v>
      </c>
      <c r="S8" s="9">
        <f ca="1">Q8*R8</f>
        <v>0</v>
      </c>
      <c r="T8" s="2"/>
    </row>
    <row r="9" spans="1:20">
      <c r="A9" s="66">
        <f ca="1">TODAY()+TIME(15,0,0)</f>
        <v>46315.625</v>
      </c>
      <c r="B9" s="65">
        <v>4</v>
      </c>
      <c r="C9" s="73">
        <f ca="1">A9-B11</f>
        <v>0.22958981481497176</v>
      </c>
      <c r="D9" s="9">
        <f ca="1">B9*C9</f>
        <v>0.91835925925988704</v>
      </c>
      <c r="E9" s="3"/>
      <c r="F9" s="66">
        <f ca="1">TODAY()+TIME(15,0,0)</f>
        <v>46315.625</v>
      </c>
      <c r="G9" s="65">
        <v>0</v>
      </c>
      <c r="H9" s="73">
        <f ca="1">F9-G11</f>
        <v>0.22958981481497176</v>
      </c>
      <c r="I9" s="9">
        <f ca="1">G9*H9</f>
        <v>0</v>
      </c>
      <c r="J9" s="3"/>
      <c r="K9" s="66">
        <f ca="1">TODAY()+TIME(15,0,0)</f>
        <v>46315.625</v>
      </c>
      <c r="L9" s="65">
        <v>1</v>
      </c>
      <c r="M9" s="73">
        <f ca="1">K9-L11</f>
        <v>0.22958981481497176</v>
      </c>
      <c r="N9" s="9">
        <f ca="1">L9*M9</f>
        <v>0.22958981481497176</v>
      </c>
      <c r="O9" s="4"/>
      <c r="P9" s="66">
        <f ca="1">TODAY()+TIME(15,0,0)</f>
        <v>46315.625</v>
      </c>
      <c r="Q9" s="65">
        <v>0</v>
      </c>
      <c r="R9" s="73">
        <f ca="1">P9-Q11</f>
        <v>0.22958981481497176</v>
      </c>
      <c r="S9" s="9">
        <f ca="1">Q9*R9</f>
        <v>0</v>
      </c>
      <c r="T9" s="2"/>
    </row>
    <row r="10" spans="1:20">
      <c r="A10" s="314"/>
      <c r="B10" s="318"/>
      <c r="C10" s="319"/>
      <c r="D10" s="319"/>
      <c r="E10" s="3"/>
      <c r="F10" s="314"/>
      <c r="G10" s="318"/>
      <c r="H10" s="314"/>
      <c r="I10" s="314"/>
      <c r="J10" s="3"/>
      <c r="K10" s="314"/>
      <c r="L10" s="318"/>
      <c r="M10" s="314"/>
      <c r="N10" s="314"/>
      <c r="O10" s="2"/>
      <c r="P10" s="314"/>
      <c r="Q10" s="318"/>
      <c r="R10" s="314"/>
      <c r="S10" s="314"/>
      <c r="T10" s="2"/>
    </row>
    <row r="11" spans="1:20">
      <c r="A11" s="11" t="s">
        <v>17</v>
      </c>
      <c r="B11" s="8">
        <f ca="1">NOW()</f>
        <v>46315.395410185185</v>
      </c>
      <c r="C11" s="319"/>
      <c r="D11" s="319"/>
      <c r="E11" s="2"/>
      <c r="F11" s="11" t="s">
        <v>17</v>
      </c>
      <c r="G11" s="8">
        <f ca="1">NOW()</f>
        <v>46315.395410185185</v>
      </c>
      <c r="H11" s="314"/>
      <c r="I11" s="314"/>
      <c r="J11" s="2"/>
      <c r="K11" s="11" t="s">
        <v>17</v>
      </c>
      <c r="L11" s="8">
        <f ca="1">NOW()</f>
        <v>46315.395410185185</v>
      </c>
      <c r="M11" s="314"/>
      <c r="N11" s="314"/>
      <c r="O11" s="2"/>
      <c r="P11" s="11" t="s">
        <v>17</v>
      </c>
      <c r="Q11" s="8">
        <f ca="1">NOW()</f>
        <v>46315.395410185185</v>
      </c>
      <c r="R11" s="314"/>
      <c r="S11" s="314"/>
      <c r="T11" s="2"/>
    </row>
    <row r="12" spans="1:20">
      <c r="A12" s="314"/>
      <c r="B12" s="314"/>
      <c r="C12" s="319"/>
      <c r="D12" s="319"/>
      <c r="E12" s="2"/>
      <c r="F12" s="295"/>
      <c r="G12" s="296"/>
      <c r="H12" s="314"/>
      <c r="I12" s="314"/>
      <c r="J12" s="2"/>
      <c r="K12" s="316"/>
      <c r="L12" s="316"/>
      <c r="M12" s="314"/>
      <c r="N12" s="314"/>
      <c r="O12" s="2"/>
      <c r="P12" s="316"/>
      <c r="Q12" s="316"/>
      <c r="R12" s="314"/>
      <c r="S12" s="314"/>
      <c r="T12" s="2"/>
    </row>
    <row r="13" spans="1:20">
      <c r="A13" s="11" t="s">
        <v>10</v>
      </c>
      <c r="B13" s="9">
        <f ca="1">(B6*C6)+(B7*C7)+(B8*C8)+(B9*C9)</f>
        <v>1.9004879629501374</v>
      </c>
      <c r="C13" s="11" t="s">
        <v>11</v>
      </c>
      <c r="D13" s="6">
        <f>B9+B8+B7+B6</f>
        <v>11</v>
      </c>
      <c r="E13" s="2"/>
      <c r="F13" s="11" t="s">
        <v>10</v>
      </c>
      <c r="G13" s="9">
        <f ca="1">(H9*G9)+(H8*G8)+(H7*G7)+(H6*G6)</f>
        <v>1.6717444444293506</v>
      </c>
      <c r="H13" s="11" t="s">
        <v>11</v>
      </c>
      <c r="I13" s="6">
        <f>G9+G8+G7+G6</f>
        <v>12</v>
      </c>
      <c r="J13" s="2"/>
      <c r="K13" s="11" t="s">
        <v>10</v>
      </c>
      <c r="L13" s="9">
        <f ca="1">N9+N8+N7+N6</f>
        <v>0.66835925925261108</v>
      </c>
      <c r="M13" s="11" t="s">
        <v>11</v>
      </c>
      <c r="N13" s="6">
        <f>L9+L8+L7+L6</f>
        <v>4</v>
      </c>
      <c r="O13" s="2"/>
      <c r="P13" s="11" t="s">
        <v>10</v>
      </c>
      <c r="Q13" s="9">
        <f ca="1">S9+S8+S7+S6</f>
        <v>0.20917962962994352</v>
      </c>
      <c r="R13" s="11" t="s">
        <v>11</v>
      </c>
      <c r="S13" s="6">
        <f>Q9+Q8+Q7+Q6</f>
        <v>2</v>
      </c>
      <c r="T13" s="2"/>
    </row>
    <row r="14" spans="1:20">
      <c r="A14" s="11" t="s">
        <v>12</v>
      </c>
      <c r="B14" s="10">
        <f>B2/(B6+B7+B8+B9)</f>
        <v>460.45454545454544</v>
      </c>
      <c r="C14" s="314"/>
      <c r="D14" s="314"/>
      <c r="E14" s="2"/>
      <c r="F14" s="11" t="s">
        <v>12</v>
      </c>
      <c r="G14" s="10">
        <f>G2/(G6+G7+G8+G9)</f>
        <v>83.083333333333329</v>
      </c>
      <c r="H14" s="314"/>
      <c r="I14" s="314"/>
      <c r="J14" s="2"/>
      <c r="K14" s="11" t="s">
        <v>12</v>
      </c>
      <c r="L14" s="10">
        <f>L2/(L6+L7+L8+L9)</f>
        <v>110</v>
      </c>
      <c r="M14" s="314"/>
      <c r="N14" s="314"/>
      <c r="O14" s="2"/>
      <c r="P14" s="11" t="s">
        <v>12</v>
      </c>
      <c r="Q14" s="10">
        <f>Q2/(Q6+Q7+Q8+Q9)</f>
        <v>0</v>
      </c>
      <c r="R14" s="314"/>
      <c r="S14" s="314"/>
      <c r="T14" s="2"/>
    </row>
    <row r="15" spans="1:20">
      <c r="A15" s="11" t="s">
        <v>13</v>
      </c>
      <c r="B15" s="9">
        <f>B2/(B3*(B6+B7+B8+B9))/24</f>
        <v>0.10778430371127</v>
      </c>
      <c r="C15" s="314"/>
      <c r="D15" s="314"/>
      <c r="E15" s="2"/>
      <c r="F15" s="11" t="s">
        <v>13</v>
      </c>
      <c r="G15" s="9">
        <f>G2/(G3*(G6+G7+G8+G9))/24</f>
        <v>4.7421993911719938E-2</v>
      </c>
      <c r="H15" s="314"/>
      <c r="I15" s="314"/>
      <c r="J15" s="2"/>
      <c r="K15" s="11" t="s">
        <v>13</v>
      </c>
      <c r="L15" s="9">
        <f>L2/(L3*(L6+L7+L8+L9))/24</f>
        <v>4.2438271604938273E-2</v>
      </c>
      <c r="M15" s="314"/>
      <c r="N15" s="314"/>
      <c r="O15" s="2"/>
      <c r="P15" s="11" t="s">
        <v>13</v>
      </c>
      <c r="Q15" s="9">
        <f>Q2/(Q3*(Q6+Q7+Q8+Q9))/24</f>
        <v>0</v>
      </c>
      <c r="R15" s="314"/>
      <c r="S15" s="314"/>
      <c r="T15" s="2"/>
    </row>
    <row r="16" spans="1:20">
      <c r="A16" s="11" t="s">
        <v>14</v>
      </c>
      <c r="B16" s="8">
        <f ca="1">B11+B15</f>
        <v>46315.503194488898</v>
      </c>
      <c r="C16" s="314"/>
      <c r="D16" s="314"/>
      <c r="E16" s="2"/>
      <c r="F16" s="11" t="s">
        <v>14</v>
      </c>
      <c r="G16" s="8">
        <f ca="1">G11+G15</f>
        <v>46315.442832179098</v>
      </c>
      <c r="H16" s="314"/>
      <c r="I16" s="314"/>
      <c r="J16" s="2"/>
      <c r="K16" s="11" t="s">
        <v>14</v>
      </c>
      <c r="L16" s="8">
        <f ca="1">L11+L15</f>
        <v>46315.437848456793</v>
      </c>
      <c r="M16" s="314"/>
      <c r="N16" s="314"/>
      <c r="O16" s="2"/>
      <c r="P16" s="11" t="s">
        <v>14</v>
      </c>
      <c r="Q16" s="8">
        <f ca="1">Q11+Q15</f>
        <v>46315.395410185185</v>
      </c>
      <c r="R16" s="314"/>
      <c r="S16" s="314"/>
      <c r="T16" s="2"/>
    </row>
    <row r="17" spans="1:20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9"/>
      <c r="O17" s="2"/>
      <c r="P17" s="41"/>
      <c r="Q17" s="2"/>
      <c r="R17" s="2"/>
      <c r="S17" s="2"/>
      <c r="T17" s="2"/>
    </row>
    <row r="18" spans="1:20">
      <c r="A18" s="321" t="s">
        <v>18</v>
      </c>
      <c r="B18" s="321"/>
      <c r="C18" s="321"/>
      <c r="D18" s="321"/>
      <c r="E18" s="2"/>
      <c r="F18" s="322" t="s">
        <v>19</v>
      </c>
      <c r="G18" s="322"/>
      <c r="H18" s="322"/>
      <c r="I18" s="322"/>
      <c r="J18" s="2"/>
      <c r="K18" s="103" t="s">
        <v>28</v>
      </c>
      <c r="L18" s="103"/>
      <c r="M18" s="103"/>
      <c r="N18" s="104"/>
      <c r="O18" s="2"/>
      <c r="P18" s="323" t="s">
        <v>15</v>
      </c>
      <c r="Q18" s="324"/>
      <c r="R18" s="317" t="s">
        <v>16</v>
      </c>
      <c r="S18" s="317"/>
      <c r="T18" s="2"/>
    </row>
    <row r="19" spans="1:20">
      <c r="A19" s="11" t="s">
        <v>4</v>
      </c>
      <c r="B19" s="6">
        <f>Q22</f>
        <v>2615</v>
      </c>
      <c r="C19" s="314"/>
      <c r="D19" s="314"/>
      <c r="E19" s="2"/>
      <c r="F19" s="11" t="s">
        <v>4</v>
      </c>
      <c r="G19" s="6">
        <f>Q23</f>
        <v>1750</v>
      </c>
      <c r="H19" s="314"/>
      <c r="I19" s="314"/>
      <c r="J19" s="2"/>
      <c r="K19" s="86" t="s">
        <v>20</v>
      </c>
      <c r="L19" s="87">
        <f ca="1">((N21-N20)/L20)/24</f>
        <v>-2.4324636087485145</v>
      </c>
      <c r="M19" s="86" t="s">
        <v>21</v>
      </c>
      <c r="N19" s="88">
        <f ca="1">N20+($L$20*L21)</f>
        <v>20484.142288752075</v>
      </c>
      <c r="O19" s="2"/>
      <c r="P19" s="67" t="s">
        <v>0</v>
      </c>
      <c r="Q19" s="65">
        <v>5065</v>
      </c>
      <c r="R19" s="58" t="s">
        <v>0</v>
      </c>
      <c r="S19" s="20">
        <f ca="1">B16</f>
        <v>46315.503194488898</v>
      </c>
      <c r="T19" s="2"/>
    </row>
    <row r="20" spans="1:20">
      <c r="A20" s="11" t="s">
        <v>5</v>
      </c>
      <c r="B20" s="6">
        <f>'Keräysteho kplh'!B5</f>
        <v>449</v>
      </c>
      <c r="C20" s="314"/>
      <c r="D20" s="314"/>
      <c r="E20" s="2"/>
      <c r="F20" s="11" t="s">
        <v>5</v>
      </c>
      <c r="G20" s="6">
        <f>'Keräysteho kplh'!B6</f>
        <v>401</v>
      </c>
      <c r="H20" s="314"/>
      <c r="I20" s="314"/>
      <c r="J20" s="2"/>
      <c r="K20" s="12" t="s">
        <v>5</v>
      </c>
      <c r="L20" s="90">
        <f ca="1">(B3*B13+G3*G13+L3*L13+Q3*Q13+B20*B30+G20*G30)/
(B13+G13+L13+Q13+B30+G30)</f>
        <v>164.73597409233233</v>
      </c>
      <c r="M20" s="86" t="s">
        <v>23</v>
      </c>
      <c r="N20" s="89">
        <f ca="1">L20*L30*24</f>
        <v>20484.142288752075</v>
      </c>
      <c r="O20" s="2"/>
      <c r="P20" s="68" t="s">
        <v>1</v>
      </c>
      <c r="Q20" s="65">
        <v>997</v>
      </c>
      <c r="R20" s="59" t="s">
        <v>1</v>
      </c>
      <c r="S20" s="20">
        <f ca="1">G16</f>
        <v>46315.442832179098</v>
      </c>
      <c r="T20" s="2"/>
    </row>
    <row r="21" spans="1:20">
      <c r="A21" s="316"/>
      <c r="B21" s="316"/>
      <c r="C21" s="314"/>
      <c r="D21" s="314"/>
      <c r="E21" s="2"/>
      <c r="F21" s="6"/>
      <c r="G21" s="7"/>
      <c r="H21" s="314"/>
      <c r="I21" s="314"/>
      <c r="J21" s="2"/>
      <c r="K21" s="86" t="s">
        <v>24</v>
      </c>
      <c r="L21" s="91">
        <v>0</v>
      </c>
      <c r="M21" s="12" t="s">
        <v>4</v>
      </c>
      <c r="N21" s="13">
        <f>B2+G2+L2+Q2+B19+G19</f>
        <v>10867</v>
      </c>
      <c r="O21" s="2"/>
      <c r="P21" s="69" t="s">
        <v>2</v>
      </c>
      <c r="Q21" s="65">
        <v>440</v>
      </c>
      <c r="R21" s="60" t="s">
        <v>2</v>
      </c>
      <c r="S21" s="20">
        <f ca="1">L16</f>
        <v>46315.437848456793</v>
      </c>
      <c r="T21" s="2"/>
    </row>
    <row r="22" spans="1:20">
      <c r="A22" s="11" t="s">
        <v>6</v>
      </c>
      <c r="B22" s="80"/>
      <c r="C22" s="11" t="s">
        <v>8</v>
      </c>
      <c r="D22" s="11" t="s">
        <v>9</v>
      </c>
      <c r="E22" s="5"/>
      <c r="F22" s="11" t="s">
        <v>6</v>
      </c>
      <c r="G22" s="80"/>
      <c r="H22" s="11" t="s">
        <v>8</v>
      </c>
      <c r="I22" s="11" t="s">
        <v>9</v>
      </c>
      <c r="J22" s="5"/>
      <c r="K22" s="12" t="s">
        <v>6</v>
      </c>
      <c r="L22" s="12" t="s">
        <v>7</v>
      </c>
      <c r="M22" s="12" t="s">
        <v>8</v>
      </c>
      <c r="N22" s="53" t="s">
        <v>9</v>
      </c>
      <c r="O22" s="2"/>
      <c r="P22" s="70" t="s">
        <v>18</v>
      </c>
      <c r="Q22" s="65">
        <v>2615</v>
      </c>
      <c r="R22" s="61" t="s">
        <v>18</v>
      </c>
      <c r="S22" s="20">
        <f ca="1">B33</f>
        <v>46315.476299816466</v>
      </c>
      <c r="T22" s="2">
        <v>47</v>
      </c>
    </row>
    <row r="23" spans="1:20">
      <c r="A23" s="66">
        <f ca="1">TODAY()+TIME(12,0,0)</f>
        <v>46315.5</v>
      </c>
      <c r="B23" s="65">
        <v>1</v>
      </c>
      <c r="C23" s="73">
        <f ca="1">A23-B28</f>
        <v>0.10458981481497176</v>
      </c>
      <c r="D23" s="9">
        <f ca="1">B23*C23</f>
        <v>0.10458981481497176</v>
      </c>
      <c r="E23" s="2"/>
      <c r="F23" s="66">
        <f ca="1">TODAY()+TIME(12,0,0)</f>
        <v>46315.5</v>
      </c>
      <c r="G23" s="65">
        <v>0</v>
      </c>
      <c r="H23" s="73">
        <f ca="1">F23-G28</f>
        <v>0.10458981481497176</v>
      </c>
      <c r="I23" s="9">
        <f ca="1">G23*H23</f>
        <v>0</v>
      </c>
      <c r="J23" s="2"/>
      <c r="K23" s="14">
        <f ca="1">TODAY()+TIME(12,0,0)</f>
        <v>46315.5</v>
      </c>
      <c r="L23" s="13">
        <f>G23+B23+B6+G6+L6+Q6</f>
        <v>7</v>
      </c>
      <c r="M23" s="15">
        <f ca="1">K23-L28</f>
        <v>0.10458981481497176</v>
      </c>
      <c r="N23" s="54">
        <f ca="1">L23*M23</f>
        <v>0.73212870370480232</v>
      </c>
      <c r="O23" s="2"/>
      <c r="P23" s="71" t="s">
        <v>19</v>
      </c>
      <c r="Q23" s="65">
        <v>1750</v>
      </c>
      <c r="R23" s="62" t="s">
        <v>19</v>
      </c>
      <c r="S23" s="20">
        <f ca="1">G33</f>
        <v>46315.486328722174</v>
      </c>
      <c r="T23" s="2"/>
    </row>
    <row r="24" spans="1:20">
      <c r="A24" s="66">
        <f ca="1">TODAY()+TIME(13,0,0)</f>
        <v>46315.541666666664</v>
      </c>
      <c r="B24" s="65">
        <v>1</v>
      </c>
      <c r="C24" s="73">
        <f ca="1">A24-B28</f>
        <v>0.14625648147921311</v>
      </c>
      <c r="D24" s="9">
        <f ca="1">B24*C24</f>
        <v>0.14625648147921311</v>
      </c>
      <c r="E24" s="2"/>
      <c r="F24" s="66">
        <f ca="1">TODAY()+TIME(13,0,0)</f>
        <v>46315.541666666664</v>
      </c>
      <c r="G24" s="65">
        <v>2</v>
      </c>
      <c r="H24" s="73">
        <f ca="1">F24-G28</f>
        <v>0.14625648147921311</v>
      </c>
      <c r="I24" s="9">
        <f ca="1">G24*H24</f>
        <v>0.29251296295842621</v>
      </c>
      <c r="J24" s="2"/>
      <c r="K24" s="14">
        <f ca="1">TODAY()+TIME(13,0,0)</f>
        <v>46315.541666666664</v>
      </c>
      <c r="L24" s="13">
        <f>G24+B24+B7+G7+L7+Q7</f>
        <v>20</v>
      </c>
      <c r="M24" s="15">
        <f ca="1">K24-L28</f>
        <v>0.14625648147921311</v>
      </c>
      <c r="N24" s="54">
        <f ca="1">L24*M24</f>
        <v>2.9251296295842621</v>
      </c>
      <c r="O24" s="2"/>
      <c r="P24" s="72" t="s">
        <v>3</v>
      </c>
      <c r="Q24" s="65">
        <v>0</v>
      </c>
      <c r="R24" s="63" t="s">
        <v>3</v>
      </c>
      <c r="S24" s="8">
        <f ca="1">Q16</f>
        <v>46315.395410185185</v>
      </c>
      <c r="T24" s="2"/>
    </row>
    <row r="25" spans="1:20">
      <c r="A25" s="66">
        <f ca="1">TODAY()+TIME(14,0,0)</f>
        <v>46315.583333333336</v>
      </c>
      <c r="B25" s="65">
        <v>1</v>
      </c>
      <c r="C25" s="73">
        <f ca="1">A25-B28</f>
        <v>0.18792314815073041</v>
      </c>
      <c r="D25" s="9">
        <f ca="1">B25*C25</f>
        <v>0.18792314815073041</v>
      </c>
      <c r="E25" s="2"/>
      <c r="F25" s="66">
        <f ca="1">TODAY()+TIME(14,0,0)</f>
        <v>46315.583333333336</v>
      </c>
      <c r="G25" s="65">
        <v>0</v>
      </c>
      <c r="H25" s="73">
        <f ca="1">F25-G28</f>
        <v>0.18792314815073041</v>
      </c>
      <c r="I25" s="9">
        <f ca="1">G25*H25</f>
        <v>0</v>
      </c>
      <c r="J25" s="2"/>
      <c r="K25" s="14">
        <f ca="1">TODAY()+TIME(14,0,0)</f>
        <v>46315.583333333336</v>
      </c>
      <c r="L25" s="13">
        <f>G25+B25+B8+G8+L8+Q8</f>
        <v>2</v>
      </c>
      <c r="M25" s="15">
        <f ca="1">K25-L28</f>
        <v>0.18792314815073041</v>
      </c>
      <c r="N25" s="54">
        <f ca="1">L25*M25</f>
        <v>0.37584629630146082</v>
      </c>
      <c r="O25" s="2"/>
      <c r="P25" s="46" t="s">
        <v>28</v>
      </c>
      <c r="Q25" s="82">
        <f>Q19+Q20+Q21+Q22+Q23+Q24</f>
        <v>10867</v>
      </c>
      <c r="R25" s="33" t="s">
        <v>28</v>
      </c>
      <c r="S25" s="8">
        <f ca="1">L33</f>
        <v>46315.503194488898</v>
      </c>
      <c r="T25" s="2"/>
    </row>
    <row r="26" spans="1:20">
      <c r="A26" s="66">
        <f ca="1">TODAY()+TIME(15,0,0)</f>
        <v>46315.625</v>
      </c>
      <c r="B26" s="65">
        <v>0</v>
      </c>
      <c r="C26" s="73">
        <f ca="1">A26-B28</f>
        <v>0.22958981481497176</v>
      </c>
      <c r="D26" s="9">
        <f ca="1">B26*C26</f>
        <v>0</v>
      </c>
      <c r="E26" s="2"/>
      <c r="F26" s="66">
        <f ca="1">TODAY()+TIME(15,0,0)</f>
        <v>46315.625</v>
      </c>
      <c r="G26" s="65">
        <v>0</v>
      </c>
      <c r="H26" s="85">
        <f ca="1">F26-G28</f>
        <v>0.22958981481497176</v>
      </c>
      <c r="I26" s="9">
        <f ca="1">G26*H26</f>
        <v>0</v>
      </c>
      <c r="J26" s="2"/>
      <c r="K26" s="8">
        <f ca="1">TODAY()+TIME(15,0,0)</f>
        <v>46315.625</v>
      </c>
      <c r="L26" s="13">
        <f>G26+B26+B9+G9+L9+Q9</f>
        <v>5</v>
      </c>
      <c r="M26" s="15">
        <f ca="1">K26-L28</f>
        <v>0.22958981481497176</v>
      </c>
      <c r="N26" s="54">
        <f ca="1">L26*M26</f>
        <v>1.1479490740748588</v>
      </c>
      <c r="O26" s="2"/>
      <c r="P26" s="325" t="s">
        <v>58</v>
      </c>
      <c r="Q26" s="326"/>
      <c r="R26" s="326" t="s">
        <v>50</v>
      </c>
      <c r="S26" s="326"/>
      <c r="T26" s="2"/>
    </row>
    <row r="27" spans="1:20">
      <c r="A27" s="314"/>
      <c r="B27" s="318"/>
      <c r="C27" s="314"/>
      <c r="D27" s="314"/>
      <c r="E27" s="2"/>
      <c r="F27" s="314"/>
      <c r="G27" s="318"/>
      <c r="H27" s="314"/>
      <c r="I27" s="314"/>
      <c r="J27" s="2"/>
      <c r="K27" s="94"/>
      <c r="L27" s="94"/>
      <c r="M27" s="94"/>
      <c r="N27" s="95"/>
      <c r="O27" s="2"/>
      <c r="P27" s="273" t="s">
        <v>31</v>
      </c>
      <c r="Q27" s="331"/>
      <c r="R27" s="317" t="s">
        <v>32</v>
      </c>
      <c r="S27" s="317"/>
      <c r="T27" s="2"/>
    </row>
    <row r="28" spans="1:20">
      <c r="A28" s="11" t="s">
        <v>17</v>
      </c>
      <c r="B28" s="8">
        <f ca="1">NOW()</f>
        <v>46315.395410185185</v>
      </c>
      <c r="C28" s="314"/>
      <c r="D28" s="314"/>
      <c r="E28" s="2"/>
      <c r="F28" s="11" t="s">
        <v>17</v>
      </c>
      <c r="G28" s="8">
        <f ca="1">NOW()</f>
        <v>46315.395410185185</v>
      </c>
      <c r="H28" s="314"/>
      <c r="I28" s="314"/>
      <c r="J28" s="2"/>
      <c r="K28" s="12" t="s">
        <v>17</v>
      </c>
      <c r="L28" s="14">
        <f ca="1">NOW()</f>
        <v>46315.395410185185</v>
      </c>
      <c r="M28" s="106" t="s">
        <v>59</v>
      </c>
      <c r="N28" s="107">
        <f ca="1">L30-N21/L20/24</f>
        <v>2.4324636087485145</v>
      </c>
      <c r="O28" s="2"/>
      <c r="P28" s="111" t="s">
        <v>33</v>
      </c>
      <c r="Q28">
        <v>0</v>
      </c>
      <c r="R28" s="112" t="s">
        <v>34</v>
      </c>
      <c r="S28" s="113">
        <f>Q28/25</f>
        <v>0</v>
      </c>
      <c r="T28" s="2"/>
    </row>
    <row r="29" spans="1:20">
      <c r="A29" s="316"/>
      <c r="B29" s="316"/>
      <c r="C29" s="314"/>
      <c r="D29" s="314"/>
      <c r="E29" s="2"/>
      <c r="F29" s="316"/>
      <c r="G29" s="316"/>
      <c r="H29" s="314"/>
      <c r="I29" s="314"/>
      <c r="J29" s="2"/>
      <c r="K29" s="99"/>
      <c r="L29" s="99"/>
      <c r="M29" s="327"/>
      <c r="N29" s="328"/>
      <c r="O29" s="2"/>
      <c r="P29" s="67" t="s">
        <v>0</v>
      </c>
      <c r="Q29" s="65">
        <v>0</v>
      </c>
      <c r="R29" s="74" t="s">
        <v>34</v>
      </c>
      <c r="S29" s="34">
        <f>B40</f>
        <v>0</v>
      </c>
      <c r="T29" s="2"/>
    </row>
    <row r="30" spans="1:20">
      <c r="A30" s="11" t="s">
        <v>10</v>
      </c>
      <c r="B30" s="9">
        <f ca="1">D26+D25+D24+D23</f>
        <v>0.43876944444491528</v>
      </c>
      <c r="C30" s="11" t="s">
        <v>11</v>
      </c>
      <c r="D30" s="6">
        <f>B26+B25+B24+B23</f>
        <v>3</v>
      </c>
      <c r="E30" s="2"/>
      <c r="F30" s="11" t="s">
        <v>10</v>
      </c>
      <c r="G30" s="9">
        <f ca="1">I26+I25+I24+I23</f>
        <v>0.29251296295842621</v>
      </c>
      <c r="H30" s="11" t="s">
        <v>11</v>
      </c>
      <c r="I30" s="6">
        <f>G26+G25+G24+G23</f>
        <v>2</v>
      </c>
      <c r="J30" s="2"/>
      <c r="K30" s="12" t="s">
        <v>10</v>
      </c>
      <c r="L30" s="15">
        <f ca="1">N23+N24+N25+N26</f>
        <v>5.1810537036653841</v>
      </c>
      <c r="M30" s="12" t="s">
        <v>11</v>
      </c>
      <c r="N30" s="55">
        <f>L26+L25+L24+L23</f>
        <v>34</v>
      </c>
      <c r="O30" s="2"/>
      <c r="P30" s="68" t="s">
        <v>1</v>
      </c>
      <c r="Q30" s="65">
        <v>0</v>
      </c>
      <c r="R30" s="75" t="s">
        <v>34</v>
      </c>
      <c r="S30" s="34">
        <f>G40</f>
        <v>0</v>
      </c>
      <c r="T30" s="2"/>
    </row>
    <row r="31" spans="1:20">
      <c r="A31" s="11" t="s">
        <v>12</v>
      </c>
      <c r="B31" s="10">
        <f>B19/(B23+B24+B25+B26)</f>
        <v>871.66666666666663</v>
      </c>
      <c r="C31" s="314"/>
      <c r="D31" s="314"/>
      <c r="E31" s="2"/>
      <c r="F31" s="11" t="s">
        <v>12</v>
      </c>
      <c r="G31" s="10">
        <f>G19/(G23+G24+G25+G26)</f>
        <v>875</v>
      </c>
      <c r="H31" s="314"/>
      <c r="I31" s="314"/>
      <c r="J31" s="2"/>
      <c r="K31" s="12" t="s">
        <v>12</v>
      </c>
      <c r="L31" s="16">
        <f>N21/(L23+L24+L25+L26)</f>
        <v>319.61764705882354</v>
      </c>
      <c r="M31" s="327"/>
      <c r="N31" s="328"/>
      <c r="O31" s="2"/>
      <c r="P31" s="69" t="s">
        <v>2</v>
      </c>
      <c r="Q31" s="65">
        <v>0</v>
      </c>
      <c r="R31" s="76" t="s">
        <v>35</v>
      </c>
      <c r="S31" s="34" t="s">
        <v>36</v>
      </c>
      <c r="T31" s="2"/>
    </row>
    <row r="32" spans="1:20">
      <c r="A32" s="11" t="s">
        <v>13</v>
      </c>
      <c r="B32" s="9">
        <f>B19/(B20*(B23+B24+B25+B26))/24</f>
        <v>8.0889631279386295E-2</v>
      </c>
      <c r="C32" s="314"/>
      <c r="D32" s="314"/>
      <c r="E32" s="2"/>
      <c r="F32" s="11" t="s">
        <v>13</v>
      </c>
      <c r="G32" s="9">
        <f>G19/(G20*(G23+G24+G25+G26))/24</f>
        <v>9.0918536990856183E-2</v>
      </c>
      <c r="H32" s="314"/>
      <c r="I32" s="314"/>
      <c r="J32" s="2"/>
      <c r="K32" s="12" t="s">
        <v>46</v>
      </c>
      <c r="L32" s="9">
        <f>MAX(IFERROR(G32,"0"),IFERROR(B32,"0"),IFERROR(L15,"0"),IFERROR(G15,"0"),IFERROR(B15,"0"),IFERROR(Q15,"0"))</f>
        <v>0.10778430371127</v>
      </c>
      <c r="M32" s="12" t="s">
        <v>42</v>
      </c>
      <c r="N32" s="109">
        <f ca="1">N21/L20/24</f>
        <v>2.7485900949168696</v>
      </c>
      <c r="O32" s="2"/>
      <c r="P32" s="70" t="s">
        <v>18</v>
      </c>
      <c r="Q32" s="81">
        <v>0</v>
      </c>
      <c r="R32" s="77" t="s">
        <v>38</v>
      </c>
      <c r="S32" s="34">
        <f>B46</f>
        <v>0</v>
      </c>
      <c r="T32" s="2"/>
    </row>
    <row r="33" spans="1:20">
      <c r="A33" s="47" t="s">
        <v>14</v>
      </c>
      <c r="B33" s="48">
        <f ca="1">B28+B32</f>
        <v>46315.476299816466</v>
      </c>
      <c r="C33" s="320"/>
      <c r="D33" s="320"/>
      <c r="E33" s="43"/>
      <c r="F33" s="47" t="s">
        <v>14</v>
      </c>
      <c r="G33" s="48">
        <f ca="1">G28+G32</f>
        <v>46315.486328722174</v>
      </c>
      <c r="H33" s="320"/>
      <c r="I33" s="320"/>
      <c r="J33" s="43"/>
      <c r="K33" s="49" t="s">
        <v>14</v>
      </c>
      <c r="L33" s="50">
        <f ca="1">MAX(IFERROR(G33,"0"),IFERROR(B33,"0"),IFERROR(L16,"0"),IFERROR(G16,"0"),IFERROR(B16,"0"),IFERROR(Q16,"0"))</f>
        <v>46315.503194488898</v>
      </c>
      <c r="M33" s="329"/>
      <c r="N33" s="330"/>
      <c r="O33" s="37"/>
      <c r="P33" s="71" t="s">
        <v>19</v>
      </c>
      <c r="Q33" s="65">
        <v>0</v>
      </c>
      <c r="R33" s="78" t="s">
        <v>38</v>
      </c>
      <c r="S33" s="34">
        <f>G46</f>
        <v>0</v>
      </c>
      <c r="T33" s="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52"/>
      <c r="L34" s="1"/>
      <c r="M34" s="1"/>
      <c r="N34" s="1"/>
      <c r="O34" s="2"/>
      <c r="P34" s="72" t="s">
        <v>3</v>
      </c>
      <c r="Q34" s="65">
        <v>0</v>
      </c>
      <c r="R34" s="79" t="s">
        <v>34</v>
      </c>
      <c r="S34" s="34">
        <f>L46</f>
        <v>0</v>
      </c>
      <c r="T34" s="2"/>
    </row>
    <row r="35" spans="1:20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2"/>
      <c r="P35" s="46" t="s">
        <v>28</v>
      </c>
      <c r="Q35" s="82">
        <f>B39+G39+L39+L45+G45+B45</f>
        <v>0</v>
      </c>
      <c r="R35" s="36"/>
      <c r="S35" s="38"/>
      <c r="T35" s="41"/>
    </row>
    <row r="36" spans="1:20">
      <c r="A36" s="42"/>
      <c r="B36" s="42"/>
      <c r="C36" s="42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56"/>
      <c r="O36" s="2"/>
      <c r="P36" s="64" t="s">
        <v>43</v>
      </c>
      <c r="Q36" s="34">
        <f>Q35/N30</f>
        <v>0</v>
      </c>
      <c r="R36" s="110" t="s">
        <v>49</v>
      </c>
      <c r="S36" s="108"/>
      <c r="T36" s="41"/>
    </row>
    <row r="37" spans="1:20">
      <c r="A37" s="310" t="s">
        <v>0</v>
      </c>
      <c r="B37" s="310"/>
      <c r="C37" s="310"/>
      <c r="D37" s="310"/>
      <c r="E37" s="2"/>
      <c r="F37" s="311" t="s">
        <v>1</v>
      </c>
      <c r="G37" s="311"/>
      <c r="H37" s="311"/>
      <c r="I37" s="311"/>
      <c r="J37" s="2"/>
      <c r="K37" s="312" t="s">
        <v>2</v>
      </c>
      <c r="L37" s="312"/>
      <c r="M37" s="312"/>
      <c r="N37" s="251"/>
      <c r="O37" s="2"/>
      <c r="P37" s="40"/>
      <c r="Q37" s="40"/>
      <c r="R37" s="21" t="s">
        <v>34</v>
      </c>
      <c r="S37" s="34">
        <f>S29/D13</f>
        <v>0</v>
      </c>
      <c r="T37" s="41"/>
    </row>
    <row r="38" spans="1:20">
      <c r="A38" s="17" t="s">
        <v>44</v>
      </c>
      <c r="B38" s="6">
        <f>B2</f>
        <v>5065</v>
      </c>
      <c r="C38" s="11" t="s">
        <v>11</v>
      </c>
      <c r="D38" s="6">
        <f>D13</f>
        <v>11</v>
      </c>
      <c r="E38" s="2"/>
      <c r="F38" s="17" t="s">
        <v>44</v>
      </c>
      <c r="G38" s="6">
        <f>G2</f>
        <v>997</v>
      </c>
      <c r="H38" s="11" t="s">
        <v>11</v>
      </c>
      <c r="I38" s="6">
        <f>I13</f>
        <v>12</v>
      </c>
      <c r="J38" s="2"/>
      <c r="K38" s="17" t="s">
        <v>44</v>
      </c>
      <c r="L38" s="6">
        <f>L2</f>
        <v>440</v>
      </c>
      <c r="M38" s="11" t="s">
        <v>11</v>
      </c>
      <c r="N38" s="57">
        <f>N13</f>
        <v>4</v>
      </c>
      <c r="O38" s="2"/>
      <c r="P38" s="40"/>
      <c r="Q38" s="40"/>
      <c r="R38" s="22" t="s">
        <v>34</v>
      </c>
      <c r="S38" s="34">
        <f>S30/I13</f>
        <v>0</v>
      </c>
      <c r="T38" s="41"/>
    </row>
    <row r="39" spans="1:20">
      <c r="A39" s="17" t="s">
        <v>47</v>
      </c>
      <c r="B39" s="6">
        <f>Q28</f>
        <v>0</v>
      </c>
      <c r="C39" s="314"/>
      <c r="D39" s="314"/>
      <c r="E39" s="2"/>
      <c r="F39" s="17" t="s">
        <v>47</v>
      </c>
      <c r="G39" s="6">
        <f>Q29</f>
        <v>0</v>
      </c>
      <c r="H39" s="314"/>
      <c r="I39" s="314"/>
      <c r="J39" s="2"/>
      <c r="K39" s="17" t="s">
        <v>52</v>
      </c>
      <c r="L39" s="6">
        <f>Q30</f>
        <v>0</v>
      </c>
      <c r="M39" s="314"/>
      <c r="N39" s="295"/>
      <c r="O39" s="2"/>
      <c r="P39" s="40"/>
      <c r="Q39" s="40"/>
      <c r="R39" s="23" t="s">
        <v>53</v>
      </c>
      <c r="S39" s="34">
        <f>L40</f>
        <v>0</v>
      </c>
      <c r="T39" s="41"/>
    </row>
    <row r="40" spans="1:20">
      <c r="A40" s="17" t="s">
        <v>50</v>
      </c>
      <c r="B40" s="18">
        <f>B39/9</f>
        <v>0</v>
      </c>
      <c r="C40" s="314"/>
      <c r="D40" s="314"/>
      <c r="E40" s="2"/>
      <c r="F40" s="17" t="s">
        <v>50</v>
      </c>
      <c r="G40" s="18">
        <f>G39/9</f>
        <v>0</v>
      </c>
      <c r="H40" s="314"/>
      <c r="I40" s="314"/>
      <c r="J40" s="2"/>
      <c r="K40" s="17" t="s">
        <v>43</v>
      </c>
      <c r="L40" s="18">
        <f>L39/N13</f>
        <v>0</v>
      </c>
      <c r="M40" s="314"/>
      <c r="N40" s="295"/>
      <c r="O40" s="2"/>
      <c r="P40" s="40"/>
      <c r="Q40" s="40"/>
      <c r="R40" s="24" t="s">
        <v>38</v>
      </c>
      <c r="S40" s="34">
        <f>S32/D30</f>
        <v>0</v>
      </c>
      <c r="T40" s="41"/>
    </row>
    <row r="41" spans="1:20">
      <c r="A41" s="17" t="s">
        <v>51</v>
      </c>
      <c r="B41" s="18">
        <f>B40/D13</f>
        <v>0</v>
      </c>
      <c r="C41" s="314"/>
      <c r="D41" s="314"/>
      <c r="E41" s="2"/>
      <c r="F41" s="17" t="s">
        <v>51</v>
      </c>
      <c r="G41" s="18">
        <f>G40/I13</f>
        <v>0</v>
      </c>
      <c r="H41" s="314"/>
      <c r="I41" s="314"/>
      <c r="J41" s="2"/>
      <c r="K41" s="314"/>
      <c r="L41" s="314"/>
      <c r="M41" s="314"/>
      <c r="N41" s="295"/>
      <c r="O41" s="2"/>
      <c r="P41" s="40"/>
      <c r="Q41" s="40"/>
      <c r="R41" s="25" t="s">
        <v>38</v>
      </c>
      <c r="S41" s="34">
        <f>S33/I30</f>
        <v>0</v>
      </c>
      <c r="T41" s="41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332"/>
      <c r="K42" s="2"/>
      <c r="L42" s="2"/>
      <c r="M42" s="2"/>
      <c r="N42" s="19"/>
      <c r="O42" s="2"/>
      <c r="P42" s="40"/>
      <c r="Q42" s="40"/>
      <c r="R42" s="26" t="s">
        <v>34</v>
      </c>
      <c r="S42" s="34">
        <f>S34/S13</f>
        <v>0</v>
      </c>
      <c r="T42" s="41"/>
    </row>
    <row r="43" spans="1:20">
      <c r="A43" s="321" t="s">
        <v>18</v>
      </c>
      <c r="B43" s="321"/>
      <c r="C43" s="321"/>
      <c r="D43" s="321"/>
      <c r="E43" s="2"/>
      <c r="F43" s="322" t="s">
        <v>19</v>
      </c>
      <c r="G43" s="322"/>
      <c r="H43" s="322"/>
      <c r="I43" s="322"/>
      <c r="J43" s="332"/>
      <c r="K43" s="313" t="s">
        <v>3</v>
      </c>
      <c r="L43" s="313"/>
      <c r="M43" s="313"/>
      <c r="N43" s="253"/>
      <c r="O43" s="2"/>
      <c r="P43" s="40"/>
      <c r="Q43" s="40"/>
      <c r="R43" s="35"/>
      <c r="S43" s="35"/>
      <c r="T43" s="41"/>
    </row>
    <row r="44" spans="1:20">
      <c r="A44" s="17" t="s">
        <v>44</v>
      </c>
      <c r="B44" s="6">
        <f>B19</f>
        <v>2615</v>
      </c>
      <c r="C44" s="11" t="s">
        <v>11</v>
      </c>
      <c r="D44" s="6">
        <f>D19</f>
        <v>0</v>
      </c>
      <c r="E44" s="2"/>
      <c r="F44" s="17" t="s">
        <v>44</v>
      </c>
      <c r="G44" s="6">
        <f>G19</f>
        <v>1750</v>
      </c>
      <c r="H44" s="11" t="s">
        <v>11</v>
      </c>
      <c r="I44" s="6">
        <f>I19</f>
        <v>0</v>
      </c>
      <c r="J44" s="332"/>
      <c r="K44" s="17" t="s">
        <v>44</v>
      </c>
      <c r="L44" s="6">
        <f>Q2</f>
        <v>0</v>
      </c>
      <c r="M44" s="11" t="s">
        <v>11</v>
      </c>
      <c r="N44" s="57">
        <f>S13</f>
        <v>2</v>
      </c>
      <c r="O44" s="2"/>
      <c r="P44" s="40"/>
      <c r="Q44" s="40"/>
      <c r="R44" s="35"/>
      <c r="S44" s="35"/>
      <c r="T44" s="41"/>
    </row>
    <row r="45" spans="1:20">
      <c r="A45" s="17" t="s">
        <v>47</v>
      </c>
      <c r="B45" s="6">
        <f>Q31</f>
        <v>0</v>
      </c>
      <c r="C45" s="314"/>
      <c r="D45" s="314"/>
      <c r="E45" s="2"/>
      <c r="F45" s="17" t="s">
        <v>47</v>
      </c>
      <c r="G45" s="6">
        <f>Q32</f>
        <v>0</v>
      </c>
      <c r="H45" s="316"/>
      <c r="I45" s="316"/>
      <c r="J45" s="332"/>
      <c r="K45" s="17" t="s">
        <v>47</v>
      </c>
      <c r="L45" s="6">
        <f>Q33</f>
        <v>0</v>
      </c>
      <c r="M45" s="314"/>
      <c r="N45" s="295"/>
      <c r="O45" s="2"/>
      <c r="P45" s="40"/>
      <c r="Q45" s="40"/>
      <c r="R45" s="35"/>
      <c r="S45" s="35"/>
      <c r="T45" s="41"/>
    </row>
    <row r="46" spans="1:20">
      <c r="A46" s="17" t="s">
        <v>55</v>
      </c>
      <c r="B46" s="18">
        <f>B45/10</f>
        <v>0</v>
      </c>
      <c r="C46" s="314"/>
      <c r="D46" s="314"/>
      <c r="E46" s="2"/>
      <c r="F46" s="17" t="s">
        <v>55</v>
      </c>
      <c r="G46" s="18">
        <f>G45/10</f>
        <v>0</v>
      </c>
      <c r="H46" s="316"/>
      <c r="I46" s="316"/>
      <c r="J46" s="332"/>
      <c r="K46" s="17" t="s">
        <v>50</v>
      </c>
      <c r="L46" s="18">
        <f>L45/16</f>
        <v>0</v>
      </c>
      <c r="M46" s="314"/>
      <c r="N46" s="295"/>
      <c r="O46" s="2"/>
      <c r="P46" s="40"/>
      <c r="Q46" s="40"/>
      <c r="R46" s="35"/>
      <c r="S46" s="35"/>
      <c r="T46" s="41"/>
    </row>
    <row r="47" spans="1:20">
      <c r="A47" s="17" t="s">
        <v>57</v>
      </c>
      <c r="B47" s="18">
        <f>B46/D30</f>
        <v>0</v>
      </c>
      <c r="C47" s="314"/>
      <c r="D47" s="314"/>
      <c r="E47" s="2"/>
      <c r="F47" s="17" t="s">
        <v>57</v>
      </c>
      <c r="G47" s="18">
        <f>G46/I30</f>
        <v>0</v>
      </c>
      <c r="H47" s="316"/>
      <c r="I47" s="316"/>
      <c r="J47" s="332"/>
      <c r="K47" s="17" t="s">
        <v>51</v>
      </c>
      <c r="L47" s="18">
        <f>L46/N44</f>
        <v>0</v>
      </c>
      <c r="M47" s="314"/>
      <c r="N47" s="295"/>
      <c r="O47" s="2"/>
      <c r="P47" s="11" t="s">
        <v>17</v>
      </c>
      <c r="Q47" s="8">
        <f ca="1">NOW()</f>
        <v>46315.395410185185</v>
      </c>
      <c r="R47" s="35"/>
      <c r="S47" s="35"/>
      <c r="T47" s="41"/>
    </row>
    <row r="48" spans="1:20">
      <c r="A48" s="2"/>
      <c r="B48" s="39"/>
      <c r="C48" s="2"/>
      <c r="D48" s="2"/>
      <c r="E48" s="2"/>
      <c r="F48" s="2"/>
      <c r="G48" s="39"/>
      <c r="H48" s="2"/>
      <c r="I48" s="2"/>
      <c r="J48" s="2"/>
      <c r="K48" s="2"/>
      <c r="L48" s="2"/>
      <c r="M48" s="2"/>
      <c r="N48" s="19"/>
      <c r="O48" s="2"/>
      <c r="P48" s="51"/>
      <c r="Q48" s="42"/>
      <c r="R48" s="42"/>
      <c r="S48" s="42"/>
      <c r="T48" s="2"/>
    </row>
    <row r="65" spans="17:17">
      <c r="Q65">
        <v>4</v>
      </c>
    </row>
  </sheetData>
  <sheetProtection algorithmName="SHA-512" hashValue="XmBHWtklwdVwD4DOqNRCOPm1wsLq8XfvFbFNWY7T1E1gvUq/LQRUsnfBxQoAXqH5bhjngkj1GyP2nFVv8KZP1g==" saltValue="AIL1rwN7fd0OhWT/ePWbeA==" spinCount="100000" sheet="1" objects="1" scenarios="1"/>
  <mergeCells count="63">
    <mergeCell ref="A37:D37"/>
    <mergeCell ref="F37:I37"/>
    <mergeCell ref="K37:N37"/>
    <mergeCell ref="M45:N47"/>
    <mergeCell ref="C39:D41"/>
    <mergeCell ref="H39:I41"/>
    <mergeCell ref="M39:N41"/>
    <mergeCell ref="K41:L41"/>
    <mergeCell ref="J42:J47"/>
    <mergeCell ref="A43:D43"/>
    <mergeCell ref="F43:I43"/>
    <mergeCell ref="K43:N43"/>
    <mergeCell ref="C45:D47"/>
    <mergeCell ref="H45:I47"/>
    <mergeCell ref="H27:I29"/>
    <mergeCell ref="P27:Q27"/>
    <mergeCell ref="R27:S27"/>
    <mergeCell ref="A29:B29"/>
    <mergeCell ref="F29:G29"/>
    <mergeCell ref="M29:N29"/>
    <mergeCell ref="P12:Q12"/>
    <mergeCell ref="R14:S16"/>
    <mergeCell ref="R10:S12"/>
    <mergeCell ref="C31:D33"/>
    <mergeCell ref="H31:I33"/>
    <mergeCell ref="A18:D18"/>
    <mergeCell ref="F18:I18"/>
    <mergeCell ref="P18:Q18"/>
    <mergeCell ref="P26:Q26"/>
    <mergeCell ref="M31:N31"/>
    <mergeCell ref="M33:N33"/>
    <mergeCell ref="A21:B21"/>
    <mergeCell ref="R26:S26"/>
    <mergeCell ref="A27:B27"/>
    <mergeCell ref="C27:D29"/>
    <mergeCell ref="F27:G27"/>
    <mergeCell ref="R18:S18"/>
    <mergeCell ref="C19:D21"/>
    <mergeCell ref="H19:I21"/>
    <mergeCell ref="P10:Q10"/>
    <mergeCell ref="A10:B10"/>
    <mergeCell ref="C14:D16"/>
    <mergeCell ref="H14:I16"/>
    <mergeCell ref="M14:N16"/>
    <mergeCell ref="C10:D12"/>
    <mergeCell ref="F10:G10"/>
    <mergeCell ref="H10:I12"/>
    <mergeCell ref="K10:L10"/>
    <mergeCell ref="M10:N12"/>
    <mergeCell ref="A12:B12"/>
    <mergeCell ref="F12:G12"/>
    <mergeCell ref="K12:L12"/>
    <mergeCell ref="A1:D1"/>
    <mergeCell ref="F1:I1"/>
    <mergeCell ref="K1:N1"/>
    <mergeCell ref="P1:S1"/>
    <mergeCell ref="C2:D4"/>
    <mergeCell ref="H2:I4"/>
    <mergeCell ref="M2:N4"/>
    <mergeCell ref="R2:S4"/>
    <mergeCell ref="F4:G4"/>
    <mergeCell ref="K4:L4"/>
    <mergeCell ref="P4:Q4"/>
  </mergeCells>
  <conditionalFormatting sqref="N21">
    <cfRule type="cellIs" dxfId="60" priority="5" stopIfTrue="1" operator="greaterThan">
      <formula>$N$20</formula>
    </cfRule>
  </conditionalFormatting>
  <conditionalFormatting sqref="N19">
    <cfRule type="cellIs" dxfId="59" priority="4" operator="greaterThan">
      <formula>$N$21</formula>
    </cfRule>
  </conditionalFormatting>
  <conditionalFormatting sqref="N21">
    <cfRule type="cellIs" dxfId="58" priority="3" operator="lessThan">
      <formula>$N$20</formula>
    </cfRule>
  </conditionalFormatting>
  <conditionalFormatting sqref="N19">
    <cfRule type="cellIs" dxfId="57" priority="2" operator="equal">
      <formula>$N$20</formula>
    </cfRule>
  </conditionalFormatting>
  <conditionalFormatting sqref="N19">
    <cfRule type="cellIs" dxfId="56" priority="1" operator="lessThan">
      <formula>$N$21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469-C65D-4F2B-8949-7EF2C176E680}">
  <sheetPr>
    <tabColor rgb="FF7030A0"/>
  </sheetPr>
  <dimension ref="A1:T65"/>
  <sheetViews>
    <sheetView workbookViewId="0"/>
  </sheetViews>
  <sheetFormatPr defaultRowHeight="15"/>
  <cols>
    <col min="1" max="1" width="25.28515625" customWidth="1"/>
    <col min="2" max="2" width="10.42578125" customWidth="1"/>
    <col min="3" max="3" width="19.85546875" customWidth="1"/>
    <col min="4" max="4" width="23" customWidth="1"/>
    <col min="5" max="5" width="2.7109375" customWidth="1"/>
    <col min="6" max="6" width="25.28515625" customWidth="1"/>
    <col min="7" max="7" width="10.42578125" customWidth="1"/>
    <col min="8" max="8" width="19.85546875" customWidth="1"/>
    <col min="9" max="9" width="23" customWidth="1"/>
    <col min="10" max="10" width="2.7109375" customWidth="1"/>
    <col min="11" max="11" width="25.28515625" customWidth="1"/>
    <col min="12" max="12" width="10.42578125" customWidth="1"/>
    <col min="13" max="13" width="19.85546875" customWidth="1"/>
    <col min="14" max="14" width="23" customWidth="1"/>
    <col min="15" max="15" width="2.7109375" customWidth="1"/>
    <col min="16" max="16" width="25.28515625" customWidth="1"/>
    <col min="17" max="17" width="10.42578125" customWidth="1"/>
    <col min="18" max="18" width="19.85546875" customWidth="1"/>
    <col min="19" max="19" width="23" customWidth="1"/>
    <col min="20" max="20" width="2.7109375" customWidth="1"/>
  </cols>
  <sheetData>
    <row r="1" spans="1:20">
      <c r="A1" s="310" t="s">
        <v>0</v>
      </c>
      <c r="B1" s="310"/>
      <c r="C1" s="310"/>
      <c r="D1" s="310"/>
      <c r="E1" s="2"/>
      <c r="F1" s="311" t="s">
        <v>1</v>
      </c>
      <c r="G1" s="311"/>
      <c r="H1" s="311"/>
      <c r="I1" s="311"/>
      <c r="J1" s="2"/>
      <c r="K1" s="102" t="s">
        <v>2</v>
      </c>
      <c r="L1" s="102"/>
      <c r="M1" s="102"/>
      <c r="N1" s="102"/>
      <c r="O1" s="2"/>
      <c r="P1" s="313" t="s">
        <v>3</v>
      </c>
      <c r="Q1" s="313"/>
      <c r="R1" s="313"/>
      <c r="S1" s="313"/>
      <c r="T1" s="2"/>
    </row>
    <row r="2" spans="1:20">
      <c r="A2" s="11" t="s">
        <v>4</v>
      </c>
      <c r="B2" s="6">
        <f>Q13</f>
        <v>0</v>
      </c>
      <c r="C2" s="314"/>
      <c r="D2" s="314"/>
      <c r="E2" s="2"/>
      <c r="F2" s="11" t="s">
        <v>4</v>
      </c>
      <c r="G2" s="6">
        <f>Q14</f>
        <v>0</v>
      </c>
      <c r="H2" s="315"/>
      <c r="I2" s="315"/>
      <c r="J2" s="2"/>
      <c r="K2" s="6" t="s">
        <v>4</v>
      </c>
      <c r="L2" s="6">
        <f>Q15</f>
        <v>0</v>
      </c>
      <c r="M2" s="93"/>
      <c r="N2" s="93"/>
      <c r="O2" s="2"/>
      <c r="P2" s="6" t="s">
        <v>4</v>
      </c>
      <c r="Q2" s="6">
        <f>Q18</f>
        <v>0</v>
      </c>
      <c r="R2" s="314"/>
      <c r="S2" s="314"/>
      <c r="T2" s="2"/>
    </row>
    <row r="3" spans="1:20">
      <c r="A3" s="11" t="s">
        <v>5</v>
      </c>
      <c r="B3" s="6">
        <f>'Keräysteho kplh'!B2</f>
        <v>178</v>
      </c>
      <c r="C3" s="314"/>
      <c r="D3" s="314"/>
      <c r="E3" s="2"/>
      <c r="F3" s="11" t="s">
        <v>5</v>
      </c>
      <c r="G3" s="6">
        <f>'Keräysteho kplh'!B3</f>
        <v>73</v>
      </c>
      <c r="H3" s="315"/>
      <c r="I3" s="315"/>
      <c r="J3" s="2"/>
      <c r="K3" s="6" t="s">
        <v>5</v>
      </c>
      <c r="L3" s="6">
        <f>'Keräysteho kplh'!B4</f>
        <v>108</v>
      </c>
      <c r="M3" s="93"/>
      <c r="N3" s="93"/>
      <c r="O3" s="2"/>
      <c r="P3" s="6" t="s">
        <v>5</v>
      </c>
      <c r="Q3" s="6">
        <f>'Keräysteho kplh'!B7</f>
        <v>32</v>
      </c>
      <c r="R3" s="314"/>
      <c r="S3" s="314"/>
      <c r="T3" s="2"/>
    </row>
    <row r="4" spans="1:20">
      <c r="A4" s="7"/>
      <c r="B4" s="7"/>
      <c r="C4" s="314"/>
      <c r="D4" s="314"/>
      <c r="E4" s="2"/>
      <c r="F4" s="316"/>
      <c r="G4" s="316"/>
      <c r="H4" s="315"/>
      <c r="I4" s="315"/>
      <c r="J4" s="2"/>
      <c r="K4" s="96"/>
      <c r="L4" s="96"/>
      <c r="M4" s="93"/>
      <c r="N4" s="93"/>
      <c r="O4" s="2"/>
      <c r="P4" s="316"/>
      <c r="Q4" s="316"/>
      <c r="R4" s="314"/>
      <c r="S4" s="314"/>
      <c r="T4" s="2"/>
    </row>
    <row r="5" spans="1:20">
      <c r="A5" s="11" t="s">
        <v>6</v>
      </c>
      <c r="B5" s="12" t="s">
        <v>7</v>
      </c>
      <c r="C5" s="11" t="s">
        <v>8</v>
      </c>
      <c r="D5" s="11" t="s">
        <v>9</v>
      </c>
      <c r="E5" s="5"/>
      <c r="F5" s="11" t="s">
        <v>6</v>
      </c>
      <c r="G5" s="12" t="s">
        <v>7</v>
      </c>
      <c r="H5" s="11" t="s">
        <v>8</v>
      </c>
      <c r="I5" s="11" t="s">
        <v>9</v>
      </c>
      <c r="J5" s="5"/>
      <c r="K5" s="11" t="s">
        <v>6</v>
      </c>
      <c r="L5" s="12" t="s">
        <v>7</v>
      </c>
      <c r="M5" s="11" t="s">
        <v>8</v>
      </c>
      <c r="N5" s="11" t="s">
        <v>9</v>
      </c>
      <c r="O5" s="2"/>
      <c r="P5" s="47" t="s">
        <v>6</v>
      </c>
      <c r="Q5" s="80"/>
      <c r="R5" s="47" t="s">
        <v>8</v>
      </c>
      <c r="S5" s="47" t="s">
        <v>9</v>
      </c>
      <c r="T5" s="2"/>
    </row>
    <row r="6" spans="1:20">
      <c r="A6" s="66">
        <f ca="1">TODAY()+TIME(12,0,0)</f>
        <v>46315.5</v>
      </c>
      <c r="B6" s="65">
        <v>0</v>
      </c>
      <c r="C6" s="73">
        <f ca="1">A6-B11</f>
        <v>0.10458981481497176</v>
      </c>
      <c r="D6" s="9">
        <f ca="1">B6*C6</f>
        <v>0</v>
      </c>
      <c r="E6" s="3"/>
      <c r="F6" s="66">
        <f ca="1">TODAY()+TIME(12,0,0)</f>
        <v>46315.5</v>
      </c>
      <c r="G6" s="65">
        <v>0</v>
      </c>
      <c r="H6" s="73">
        <f ca="1">F6-G11</f>
        <v>0.10458981481497176</v>
      </c>
      <c r="I6" s="9">
        <f ca="1">G6*H6</f>
        <v>0</v>
      </c>
      <c r="J6" s="3"/>
      <c r="K6" s="66">
        <f ca="1">TODAY()+TIME(12,0,0)</f>
        <v>46315.5</v>
      </c>
      <c r="L6" s="65">
        <v>0</v>
      </c>
      <c r="M6" s="73">
        <f ca="1">K6-L11</f>
        <v>0.10458981481497176</v>
      </c>
      <c r="N6" s="9">
        <f ca="1">L6*M6</f>
        <v>0</v>
      </c>
      <c r="O6" s="133"/>
      <c r="P6" s="134" t="e">
        <f ca="1">S18</f>
        <v>#DIV/0!</v>
      </c>
      <c r="Q6" s="65">
        <v>0</v>
      </c>
      <c r="R6" s="135" t="e">
        <f ca="1">P6-L29</f>
        <v>#DIV/0!</v>
      </c>
      <c r="S6" s="126" t="e">
        <f ca="1">R6*Q6</f>
        <v>#DIV/0!</v>
      </c>
      <c r="T6" s="41"/>
    </row>
    <row r="7" spans="1:20">
      <c r="A7" s="66">
        <f ca="1">TODAY()+TIME(13,0,0)</f>
        <v>46315.541666666664</v>
      </c>
      <c r="B7" s="65">
        <v>0</v>
      </c>
      <c r="C7" s="73">
        <f ca="1">A7-B11</f>
        <v>0.14625648147921311</v>
      </c>
      <c r="D7" s="9">
        <f ca="1">B7*C7</f>
        <v>0</v>
      </c>
      <c r="E7" s="3"/>
      <c r="F7" s="66">
        <f ca="1">TODAY()+TIME(13,0,0)</f>
        <v>46315.541666666664</v>
      </c>
      <c r="G7" s="65">
        <v>0</v>
      </c>
      <c r="H7" s="73">
        <f ca="1">F7-G11</f>
        <v>0.14625648147921311</v>
      </c>
      <c r="I7" s="9">
        <f ca="1">G7*H7</f>
        <v>0</v>
      </c>
      <c r="J7" s="3"/>
      <c r="K7" s="66">
        <f ca="1">TODAY()+TIME(13,0,0)</f>
        <v>46315.541666666664</v>
      </c>
      <c r="L7" s="65">
        <v>0</v>
      </c>
      <c r="M7" s="73">
        <f ca="1">K7-L11</f>
        <v>0.14625648147921311</v>
      </c>
      <c r="N7" s="9">
        <f ca="1">L7*M7</f>
        <v>0</v>
      </c>
      <c r="O7" s="133"/>
      <c r="P7" s="11" t="s">
        <v>10</v>
      </c>
      <c r="Q7" s="9" t="e">
        <f ca="1">S6</f>
        <v>#DIV/0!</v>
      </c>
      <c r="R7" s="11" t="s">
        <v>11</v>
      </c>
      <c r="S7" s="6">
        <f>Q6</f>
        <v>0</v>
      </c>
      <c r="T7" s="41"/>
    </row>
    <row r="8" spans="1:20">
      <c r="A8" s="66">
        <f ca="1">TODAY()+TIME(14,0,0)</f>
        <v>46315.583333333336</v>
      </c>
      <c r="B8" s="65">
        <v>0</v>
      </c>
      <c r="C8" s="73">
        <f ca="1">A8-B11</f>
        <v>0.18792314815073041</v>
      </c>
      <c r="D8" s="9">
        <f ca="1">B8*C8</f>
        <v>0</v>
      </c>
      <c r="E8" s="3"/>
      <c r="F8" s="66">
        <f ca="1">TODAY()+TIME(14,0,0)</f>
        <v>46315.583333333336</v>
      </c>
      <c r="G8" s="65">
        <v>0</v>
      </c>
      <c r="H8" s="73">
        <f ca="1">F8-G11</f>
        <v>0.18792314815073041</v>
      </c>
      <c r="I8" s="9">
        <f ca="1">G8*H8</f>
        <v>0</v>
      </c>
      <c r="J8" s="3"/>
      <c r="K8" s="66">
        <f ca="1">TODAY()+TIME(14,0,0)</f>
        <v>46315.583333333336</v>
      </c>
      <c r="L8" s="65">
        <v>0</v>
      </c>
      <c r="M8" s="73">
        <f ca="1">K8-L11</f>
        <v>0.18792314815073041</v>
      </c>
      <c r="N8" s="9">
        <f ca="1">L8*M8</f>
        <v>0</v>
      </c>
      <c r="O8" s="133"/>
      <c r="P8" s="11" t="s">
        <v>12</v>
      </c>
      <c r="Q8" s="10" t="e">
        <f>Q2/(Q6)</f>
        <v>#DIV/0!</v>
      </c>
      <c r="R8" s="314"/>
      <c r="S8" s="314"/>
      <c r="T8" s="41"/>
    </row>
    <row r="9" spans="1:20">
      <c r="A9" s="66">
        <f ca="1">TODAY()+TIME(15,0,0)</f>
        <v>46315.625</v>
      </c>
      <c r="B9" s="65">
        <v>0</v>
      </c>
      <c r="C9" s="73">
        <f ca="1">A9-B11</f>
        <v>0.22958981481497176</v>
      </c>
      <c r="D9" s="9">
        <f ca="1">B9*C9</f>
        <v>0</v>
      </c>
      <c r="E9" s="3"/>
      <c r="F9" s="66">
        <f ca="1">TODAY()+TIME(15,0,0)</f>
        <v>46315.625</v>
      </c>
      <c r="G9" s="65">
        <v>0</v>
      </c>
      <c r="H9" s="73">
        <f ca="1">F9-G11</f>
        <v>0.22958981481497176</v>
      </c>
      <c r="I9" s="9">
        <f ca="1">G9*H9</f>
        <v>0</v>
      </c>
      <c r="J9" s="3"/>
      <c r="K9" s="66">
        <f ca="1">TODAY()+TIME(15,0,0)</f>
        <v>46315.625</v>
      </c>
      <c r="L9" s="65">
        <v>0</v>
      </c>
      <c r="M9" s="73">
        <f ca="1">K9-L11</f>
        <v>0.22958981481497176</v>
      </c>
      <c r="N9" s="9">
        <f ca="1">L9*M9</f>
        <v>0</v>
      </c>
      <c r="O9" s="133"/>
      <c r="P9" s="11" t="s">
        <v>13</v>
      </c>
      <c r="Q9" s="9" t="e">
        <f>Q2/(Q3*(Q6))/24</f>
        <v>#DIV/0!</v>
      </c>
      <c r="R9" s="314"/>
      <c r="S9" s="314"/>
      <c r="T9" s="41"/>
    </row>
    <row r="10" spans="1:20">
      <c r="A10" s="314"/>
      <c r="B10" s="318"/>
      <c r="C10" s="319"/>
      <c r="D10" s="319"/>
      <c r="E10" s="3"/>
      <c r="F10" s="314"/>
      <c r="G10" s="318"/>
      <c r="H10" s="314"/>
      <c r="I10" s="314"/>
      <c r="J10" s="3"/>
      <c r="K10" s="93"/>
      <c r="L10" s="98"/>
      <c r="M10" s="93"/>
      <c r="N10" s="93"/>
      <c r="O10" s="2"/>
      <c r="P10" s="11" t="s">
        <v>14</v>
      </c>
      <c r="Q10" s="8" t="e">
        <f ca="1">L29+Q9</f>
        <v>#DIV/0!</v>
      </c>
      <c r="R10" s="314"/>
      <c r="S10" s="314"/>
      <c r="T10" s="2"/>
    </row>
    <row r="11" spans="1:20">
      <c r="A11" s="11" t="s">
        <v>17</v>
      </c>
      <c r="B11" s="8">
        <f ca="1">NOW()</f>
        <v>46315.395410185185</v>
      </c>
      <c r="C11" s="319"/>
      <c r="D11" s="319"/>
      <c r="E11" s="2"/>
      <c r="F11" s="11" t="s">
        <v>17</v>
      </c>
      <c r="G11" s="8">
        <f ca="1">NOW()</f>
        <v>46315.395410185185</v>
      </c>
      <c r="H11" s="314"/>
      <c r="I11" s="314"/>
      <c r="J11" s="2"/>
      <c r="K11" s="11" t="s">
        <v>17</v>
      </c>
      <c r="L11" s="8">
        <f ca="1">NOW()</f>
        <v>46315.395410185185</v>
      </c>
      <c r="M11" s="93"/>
      <c r="N11" s="93"/>
      <c r="O11" s="2"/>
      <c r="P11" s="41"/>
      <c r="Q11" s="2"/>
      <c r="R11" s="2"/>
      <c r="S11" s="2"/>
      <c r="T11" s="2"/>
    </row>
    <row r="12" spans="1:20">
      <c r="A12" s="314"/>
      <c r="B12" s="314"/>
      <c r="C12" s="319"/>
      <c r="D12" s="319"/>
      <c r="E12" s="2"/>
      <c r="F12" s="295"/>
      <c r="G12" s="296"/>
      <c r="H12" s="314"/>
      <c r="I12" s="314"/>
      <c r="J12" s="2"/>
      <c r="K12" s="96"/>
      <c r="L12" s="96"/>
      <c r="M12" s="93"/>
      <c r="N12" s="93"/>
      <c r="O12" s="2"/>
      <c r="P12" s="121" t="s">
        <v>15</v>
      </c>
      <c r="Q12" s="122"/>
      <c r="R12" s="124" t="s">
        <v>16</v>
      </c>
      <c r="S12" s="124"/>
      <c r="T12" s="2"/>
    </row>
    <row r="13" spans="1:20">
      <c r="A13" s="11" t="s">
        <v>10</v>
      </c>
      <c r="B13" s="9">
        <f ca="1">(B6*C6)+(B7*C7)+(B8*C8)+(B9*C9)</f>
        <v>0</v>
      </c>
      <c r="C13" s="11" t="s">
        <v>11</v>
      </c>
      <c r="D13" s="6">
        <f>B9+B8+B7+B6</f>
        <v>0</v>
      </c>
      <c r="E13" s="2"/>
      <c r="F13" s="11" t="s">
        <v>10</v>
      </c>
      <c r="G13" s="9">
        <f ca="1">(H9*G9)+(H8*G8)+(H7*G7)+(H6*G6)</f>
        <v>0</v>
      </c>
      <c r="H13" s="11" t="s">
        <v>11</v>
      </c>
      <c r="I13" s="6">
        <f>G9+G8+G7+G6</f>
        <v>0</v>
      </c>
      <c r="J13" s="2"/>
      <c r="K13" s="11" t="s">
        <v>10</v>
      </c>
      <c r="L13" s="9">
        <f ca="1">N9+N8+N7+N6</f>
        <v>0</v>
      </c>
      <c r="M13" s="11" t="s">
        <v>11</v>
      </c>
      <c r="N13" s="6">
        <f>L9+L8+L7+L6</f>
        <v>0</v>
      </c>
      <c r="O13" s="2"/>
      <c r="P13" s="67" t="s">
        <v>0</v>
      </c>
      <c r="Q13" s="65">
        <v>0</v>
      </c>
      <c r="R13" s="58" t="s">
        <v>0</v>
      </c>
      <c r="S13" s="20" t="e">
        <f ca="1">B16</f>
        <v>#DIV/0!</v>
      </c>
      <c r="T13" s="2"/>
    </row>
    <row r="14" spans="1:20">
      <c r="A14" s="11" t="s">
        <v>12</v>
      </c>
      <c r="B14" s="10" t="e">
        <f>B2/(B6+B7+B8+B9)</f>
        <v>#DIV/0!</v>
      </c>
      <c r="C14" s="314"/>
      <c r="D14" s="314"/>
      <c r="E14" s="2"/>
      <c r="F14" s="11" t="s">
        <v>12</v>
      </c>
      <c r="G14" s="10" t="e">
        <f>G2/(G6+G7+G8+G9)</f>
        <v>#DIV/0!</v>
      </c>
      <c r="H14" s="284"/>
      <c r="I14" s="285"/>
      <c r="J14" s="2"/>
      <c r="K14" s="11" t="s">
        <v>12</v>
      </c>
      <c r="L14" s="10" t="e">
        <f>L2/(L6+L7+L8+L9)</f>
        <v>#DIV/0!</v>
      </c>
      <c r="M14" s="93"/>
      <c r="N14" s="93"/>
      <c r="O14" s="2"/>
      <c r="P14" s="68" t="s">
        <v>1</v>
      </c>
      <c r="Q14" s="65">
        <v>0</v>
      </c>
      <c r="R14" s="59" t="s">
        <v>1</v>
      </c>
      <c r="S14" s="20" t="e">
        <f ca="1">G16</f>
        <v>#DIV/0!</v>
      </c>
      <c r="T14" s="2"/>
    </row>
    <row r="15" spans="1:20">
      <c r="A15" s="11" t="s">
        <v>13</v>
      </c>
      <c r="B15" s="9" t="e">
        <f>B2/(B3*(B6+B7+B8+B9))/24</f>
        <v>#DIV/0!</v>
      </c>
      <c r="C15" s="314"/>
      <c r="D15" s="314"/>
      <c r="E15" s="2"/>
      <c r="F15" s="11" t="s">
        <v>13</v>
      </c>
      <c r="G15" s="9" t="e">
        <f>G2/(G3*(G6+G7+G8+G9))/24</f>
        <v>#DIV/0!</v>
      </c>
      <c r="H15" s="308"/>
      <c r="I15" s="309"/>
      <c r="J15" s="2"/>
      <c r="K15" s="11" t="s">
        <v>13</v>
      </c>
      <c r="L15" s="9" t="e">
        <f>L2/(L3*(L6+L7+L8+L9))/24</f>
        <v>#DIV/0!</v>
      </c>
      <c r="M15" s="93"/>
      <c r="N15" s="93"/>
      <c r="O15" s="2"/>
      <c r="P15" s="69" t="s">
        <v>2</v>
      </c>
      <c r="Q15" s="65">
        <v>0</v>
      </c>
      <c r="R15" s="60" t="s">
        <v>2</v>
      </c>
      <c r="S15" s="20" t="e">
        <f ca="1">L16</f>
        <v>#DIV/0!</v>
      </c>
      <c r="T15" s="2"/>
    </row>
    <row r="16" spans="1:20">
      <c r="A16" s="11" t="s">
        <v>14</v>
      </c>
      <c r="B16" s="8" t="e">
        <f ca="1">B11+B15</f>
        <v>#DIV/0!</v>
      </c>
      <c r="C16" s="314"/>
      <c r="D16" s="314"/>
      <c r="E16" s="2"/>
      <c r="F16" s="11" t="s">
        <v>14</v>
      </c>
      <c r="G16" s="8" t="e">
        <f ca="1">G11+G15</f>
        <v>#DIV/0!</v>
      </c>
      <c r="H16" s="286"/>
      <c r="I16" s="287"/>
      <c r="J16" s="2"/>
      <c r="K16" s="11" t="s">
        <v>14</v>
      </c>
      <c r="L16" s="8" t="e">
        <f ca="1">L11+L15</f>
        <v>#DIV/0!</v>
      </c>
      <c r="M16" s="93"/>
      <c r="N16" s="93"/>
      <c r="O16" s="2"/>
      <c r="P16" s="70" t="s">
        <v>18</v>
      </c>
      <c r="Q16" s="65">
        <v>0</v>
      </c>
      <c r="R16" s="61" t="s">
        <v>18</v>
      </c>
      <c r="S16" s="20" t="e">
        <f ca="1">B33</f>
        <v>#DIV/0!</v>
      </c>
      <c r="T16" s="2"/>
    </row>
    <row r="17" spans="1:20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9"/>
      <c r="O17" s="2"/>
      <c r="P17" s="71" t="s">
        <v>19</v>
      </c>
      <c r="Q17" s="65">
        <v>0</v>
      </c>
      <c r="R17" s="62" t="s">
        <v>19</v>
      </c>
      <c r="S17" s="20" t="e">
        <f ca="1">G33</f>
        <v>#DIV/0!</v>
      </c>
      <c r="T17" s="19"/>
    </row>
    <row r="18" spans="1:20">
      <c r="A18" s="321" t="s">
        <v>18</v>
      </c>
      <c r="B18" s="321"/>
      <c r="C18" s="321"/>
      <c r="D18" s="321"/>
      <c r="E18" s="2"/>
      <c r="F18" s="322" t="s">
        <v>19</v>
      </c>
      <c r="G18" s="322"/>
      <c r="H18" s="322"/>
      <c r="I18" s="322"/>
      <c r="J18" s="2"/>
      <c r="K18" s="103" t="s">
        <v>60</v>
      </c>
      <c r="L18" s="103"/>
      <c r="M18" s="103"/>
      <c r="N18" s="104"/>
      <c r="O18" s="2"/>
      <c r="P18" s="72" t="s">
        <v>3</v>
      </c>
      <c r="Q18" s="65">
        <v>0</v>
      </c>
      <c r="R18" s="63" t="s">
        <v>3</v>
      </c>
      <c r="S18" s="8" t="e">
        <f ca="1">Q10</f>
        <v>#DIV/0!</v>
      </c>
      <c r="T18" s="19"/>
    </row>
    <row r="19" spans="1:20">
      <c r="A19" s="11" t="s">
        <v>4</v>
      </c>
      <c r="B19" s="6">
        <f>Q16</f>
        <v>0</v>
      </c>
      <c r="C19" s="314"/>
      <c r="D19" s="314"/>
      <c r="E19" s="2"/>
      <c r="F19" s="11" t="s">
        <v>4</v>
      </c>
      <c r="G19" s="6">
        <f>Q17</f>
        <v>0</v>
      </c>
      <c r="H19" s="314"/>
      <c r="I19" s="314"/>
      <c r="J19" s="2"/>
      <c r="K19" s="86" t="s">
        <v>20</v>
      </c>
      <c r="L19" s="87" t="e">
        <f ca="1">((N21-N20)/L20)/24</f>
        <v>#DIV/0!</v>
      </c>
      <c r="M19" s="86" t="s">
        <v>21</v>
      </c>
      <c r="N19" s="88" t="e">
        <f ca="1">N20+($L$20*L21)</f>
        <v>#DIV/0!</v>
      </c>
      <c r="O19" s="2"/>
      <c r="P19" s="46" t="s">
        <v>28</v>
      </c>
      <c r="Q19" s="82">
        <f>Q13+Q14+Q15+Q16+Q17+Q18</f>
        <v>0</v>
      </c>
      <c r="R19" s="33" t="s">
        <v>28</v>
      </c>
      <c r="S19" s="8">
        <f ca="1">L33</f>
        <v>0</v>
      </c>
      <c r="T19" s="19"/>
    </row>
    <row r="20" spans="1:20">
      <c r="A20" s="11" t="s">
        <v>5</v>
      </c>
      <c r="B20" s="6">
        <f>'Keräysteho kplh'!B5</f>
        <v>449</v>
      </c>
      <c r="C20" s="314"/>
      <c r="D20" s="314"/>
      <c r="E20" s="2"/>
      <c r="F20" s="11" t="s">
        <v>5</v>
      </c>
      <c r="G20" s="6">
        <f>'Keräysteho kplh'!B6</f>
        <v>401</v>
      </c>
      <c r="H20" s="314"/>
      <c r="I20" s="314"/>
      <c r="J20" s="2"/>
      <c r="K20" s="12" t="s">
        <v>22</v>
      </c>
      <c r="L20" s="90" t="e">
        <f ca="1">(B3*B13+G3*G13+L3*L13+B20*B30+G20*G30)/
(B13+G13+L13+B30+G30)</f>
        <v>#DIV/0!</v>
      </c>
      <c r="M20" s="86" t="s">
        <v>23</v>
      </c>
      <c r="N20" s="89" t="e">
        <f ca="1">L20*L30*24</f>
        <v>#DIV/0!</v>
      </c>
      <c r="O20" s="2"/>
      <c r="P20" s="123" t="s">
        <v>58</v>
      </c>
      <c r="Q20" s="36"/>
      <c r="R20" s="36" t="s">
        <v>50</v>
      </c>
      <c r="S20" s="36"/>
      <c r="T20" s="19"/>
    </row>
    <row r="21" spans="1:20">
      <c r="A21" s="316"/>
      <c r="B21" s="316"/>
      <c r="C21" s="314"/>
      <c r="D21" s="314"/>
      <c r="E21" s="2"/>
      <c r="F21" s="6"/>
      <c r="G21" s="7"/>
      <c r="H21" s="314"/>
      <c r="I21" s="314"/>
      <c r="J21" s="2"/>
      <c r="K21" s="86" t="s">
        <v>24</v>
      </c>
      <c r="L21" s="91">
        <v>0</v>
      </c>
      <c r="M21" s="12" t="s">
        <v>25</v>
      </c>
      <c r="N21" s="13">
        <f>B2+G2+L2+B19+G19</f>
        <v>0</v>
      </c>
      <c r="O21" s="2"/>
      <c r="P21" s="108" t="s">
        <v>31</v>
      </c>
      <c r="Q21" s="125"/>
      <c r="R21" s="124" t="s">
        <v>32</v>
      </c>
      <c r="S21" s="124"/>
      <c r="T21" s="19"/>
    </row>
    <row r="22" spans="1:20">
      <c r="A22" s="11" t="s">
        <v>6</v>
      </c>
      <c r="B22" s="12" t="s">
        <v>7</v>
      </c>
      <c r="C22" s="11" t="s">
        <v>8</v>
      </c>
      <c r="D22" s="11" t="s">
        <v>9</v>
      </c>
      <c r="E22" s="5"/>
      <c r="F22" s="11" t="s">
        <v>6</v>
      </c>
      <c r="G22" s="12" t="s">
        <v>7</v>
      </c>
      <c r="H22" s="11" t="s">
        <v>8</v>
      </c>
      <c r="I22" s="11" t="s">
        <v>9</v>
      </c>
      <c r="J22" s="5"/>
      <c r="K22" s="13" t="s">
        <v>30</v>
      </c>
      <c r="L22" s="132" t="e">
        <f ca="1">(B3*B13+G3*G13+L3*L13+Q3*Q7+B20*B30+G20*G30)/
(B13+G13+L13+Q7+B30+G30)</f>
        <v>#DIV/0!</v>
      </c>
      <c r="M22" s="13" t="s">
        <v>27</v>
      </c>
      <c r="N22" s="13">
        <f>B2+G2+L2+Q2+B19+G19</f>
        <v>0</v>
      </c>
      <c r="O22" s="2"/>
      <c r="P22" s="111" t="s">
        <v>33</v>
      </c>
      <c r="Q22">
        <v>0</v>
      </c>
      <c r="R22" s="112" t="s">
        <v>34</v>
      </c>
      <c r="S22" s="113">
        <f>Q22/25</f>
        <v>0</v>
      </c>
      <c r="T22" s="19">
        <v>47</v>
      </c>
    </row>
    <row r="23" spans="1:20">
      <c r="A23" s="66">
        <f ca="1">TODAY()+TIME(12,0,0)</f>
        <v>46315.5</v>
      </c>
      <c r="B23" s="65">
        <v>0</v>
      </c>
      <c r="C23" s="73">
        <f ca="1">A23-B28</f>
        <v>0.10458981481497176</v>
      </c>
      <c r="D23" s="9">
        <f ca="1">B23*C23</f>
        <v>0</v>
      </c>
      <c r="E23" s="2"/>
      <c r="F23" s="66">
        <f ca="1">TODAY()+TIME(12,0,0)</f>
        <v>46315.5</v>
      </c>
      <c r="G23" s="65">
        <v>0</v>
      </c>
      <c r="H23" s="73">
        <f ca="1">F23-G28</f>
        <v>0.10458981481497176</v>
      </c>
      <c r="I23" s="9">
        <f ca="1">G23*H23</f>
        <v>0</v>
      </c>
      <c r="J23" s="2"/>
      <c r="K23" s="12" t="s">
        <v>6</v>
      </c>
      <c r="L23" s="12" t="s">
        <v>29</v>
      </c>
      <c r="M23" s="12" t="s">
        <v>8</v>
      </c>
      <c r="N23" s="53" t="s">
        <v>9</v>
      </c>
      <c r="O23" s="2"/>
      <c r="P23" s="67" t="s">
        <v>0</v>
      </c>
      <c r="Q23" s="65">
        <v>0</v>
      </c>
      <c r="R23" s="74" t="s">
        <v>34</v>
      </c>
      <c r="S23" s="34">
        <f>B40</f>
        <v>0</v>
      </c>
      <c r="T23" s="19"/>
    </row>
    <row r="24" spans="1:20">
      <c r="A24" s="66">
        <f ca="1">TODAY()+TIME(13,0,0)</f>
        <v>46315.541666666664</v>
      </c>
      <c r="B24" s="65">
        <v>0</v>
      </c>
      <c r="C24" s="73">
        <f ca="1">A24-B28</f>
        <v>0.14625648147921311</v>
      </c>
      <c r="D24" s="9">
        <f ca="1">B24*C24</f>
        <v>0</v>
      </c>
      <c r="E24" s="2"/>
      <c r="F24" s="66">
        <f ca="1">TODAY()+TIME(13,0,0)</f>
        <v>46315.541666666664</v>
      </c>
      <c r="G24" s="65">
        <v>0</v>
      </c>
      <c r="H24" s="73">
        <f ca="1">F24-G28</f>
        <v>0.14625648147921311</v>
      </c>
      <c r="I24" s="9">
        <f ca="1">G24*H24</f>
        <v>0</v>
      </c>
      <c r="J24" s="2"/>
      <c r="K24" s="14">
        <f ca="1">TODAY()+TIME(12,0,0)</f>
        <v>46315.5</v>
      </c>
      <c r="L24" s="13">
        <f>G23+B23+B6+G6+L6</f>
        <v>0</v>
      </c>
      <c r="M24" s="15">
        <f ca="1">K24-L29</f>
        <v>0.10458981481497176</v>
      </c>
      <c r="N24" s="54">
        <f ca="1">L24*M24</f>
        <v>0</v>
      </c>
      <c r="O24" s="2"/>
      <c r="P24" s="68" t="s">
        <v>1</v>
      </c>
      <c r="Q24" s="65">
        <v>0</v>
      </c>
      <c r="R24" s="75" t="s">
        <v>34</v>
      </c>
      <c r="S24" s="34">
        <f>G40</f>
        <v>0</v>
      </c>
      <c r="T24" s="19"/>
    </row>
    <row r="25" spans="1:20">
      <c r="A25" s="66">
        <f ca="1">TODAY()+TIME(14,0,0)</f>
        <v>46315.583333333336</v>
      </c>
      <c r="B25" s="65">
        <v>0</v>
      </c>
      <c r="C25" s="73">
        <f ca="1">A25-B28</f>
        <v>0.18792314815073041</v>
      </c>
      <c r="D25" s="9">
        <f ca="1">B25*C25</f>
        <v>0</v>
      </c>
      <c r="E25" s="2"/>
      <c r="F25" s="66">
        <f ca="1">TODAY()+TIME(14,0,0)</f>
        <v>46315.583333333336</v>
      </c>
      <c r="G25" s="65">
        <v>0</v>
      </c>
      <c r="H25" s="73">
        <f ca="1">F25-G28</f>
        <v>0.18792314815073041</v>
      </c>
      <c r="I25" s="9">
        <f ca="1">G25*H25</f>
        <v>0</v>
      </c>
      <c r="J25" s="2"/>
      <c r="K25" s="14">
        <f ca="1">TODAY()+TIME(13,0,0)</f>
        <v>46315.541666666664</v>
      </c>
      <c r="L25" s="13">
        <f>G24+B24+B7+G7+L7</f>
        <v>0</v>
      </c>
      <c r="M25" s="15">
        <f ca="1">K25-L29</f>
        <v>0.14625648147921311</v>
      </c>
      <c r="N25" s="54">
        <f ca="1">L25*M25</f>
        <v>0</v>
      </c>
      <c r="O25" s="2"/>
      <c r="P25" s="69" t="s">
        <v>2</v>
      </c>
      <c r="Q25" s="65">
        <v>0</v>
      </c>
      <c r="R25" s="76" t="s">
        <v>35</v>
      </c>
      <c r="S25" s="34" t="s">
        <v>36</v>
      </c>
      <c r="T25" s="19"/>
    </row>
    <row r="26" spans="1:20">
      <c r="A26" s="66">
        <f ca="1">TODAY()+TIME(15,0,0)</f>
        <v>46315.625</v>
      </c>
      <c r="B26" s="65">
        <v>0</v>
      </c>
      <c r="C26" s="73">
        <f ca="1">A26-B28</f>
        <v>0.22958981481497176</v>
      </c>
      <c r="D26" s="9">
        <f ca="1">B26*C26</f>
        <v>0</v>
      </c>
      <c r="E26" s="2"/>
      <c r="F26" s="66">
        <f ca="1">TODAY()+TIME(15,0,0)</f>
        <v>46315.625</v>
      </c>
      <c r="G26" s="65">
        <v>0</v>
      </c>
      <c r="H26" s="92">
        <f ca="1">F26-G28</f>
        <v>0.22958981481497176</v>
      </c>
      <c r="I26" s="9">
        <f ca="1">G26*H26</f>
        <v>0</v>
      </c>
      <c r="J26" s="2"/>
      <c r="K26" s="14">
        <f ca="1">TODAY()+TIME(14,0,0)</f>
        <v>46315.583333333336</v>
      </c>
      <c r="L26" s="13">
        <f>G25+B25+B8+G8+L8</f>
        <v>0</v>
      </c>
      <c r="M26" s="15">
        <f ca="1">K26-L29</f>
        <v>0.18792314815073041</v>
      </c>
      <c r="N26" s="54">
        <f ca="1">L26*M26</f>
        <v>0</v>
      </c>
      <c r="O26" s="2"/>
      <c r="P26" s="70" t="s">
        <v>18</v>
      </c>
      <c r="Q26" s="81">
        <v>0</v>
      </c>
      <c r="R26" s="77" t="s">
        <v>38</v>
      </c>
      <c r="S26" s="34">
        <f>B46</f>
        <v>0</v>
      </c>
      <c r="T26" s="19"/>
    </row>
    <row r="27" spans="1:20">
      <c r="A27" s="314"/>
      <c r="B27" s="318"/>
      <c r="C27" s="314"/>
      <c r="D27" s="314"/>
      <c r="E27" s="2"/>
      <c r="F27" s="314"/>
      <c r="G27" s="318"/>
      <c r="H27" s="314"/>
      <c r="I27" s="314"/>
      <c r="J27" s="2"/>
      <c r="K27" s="8">
        <f ca="1">TODAY()+TIME(15,0,0)</f>
        <v>46315.625</v>
      </c>
      <c r="L27" s="13">
        <f>G26+B26+B9+G9+L9</f>
        <v>0</v>
      </c>
      <c r="M27" s="127">
        <f ca="1">K27-L29</f>
        <v>0.22958981481497176</v>
      </c>
      <c r="N27" s="128">
        <f ca="1">L27*M27</f>
        <v>0</v>
      </c>
      <c r="O27" s="2"/>
      <c r="P27" s="71" t="s">
        <v>19</v>
      </c>
      <c r="Q27" s="65">
        <v>0</v>
      </c>
      <c r="R27" s="78" t="s">
        <v>38</v>
      </c>
      <c r="S27" s="34">
        <f>G46</f>
        <v>0</v>
      </c>
      <c r="T27" s="2"/>
    </row>
    <row r="28" spans="1:20">
      <c r="A28" s="11" t="s">
        <v>17</v>
      </c>
      <c r="B28" s="8">
        <f ca="1">NOW()</f>
        <v>46315.395410185185</v>
      </c>
      <c r="C28" s="314"/>
      <c r="D28" s="314"/>
      <c r="E28" s="2"/>
      <c r="F28" s="11" t="s">
        <v>17</v>
      </c>
      <c r="G28" s="8">
        <f ca="1">NOW()</f>
        <v>46315.395410185185</v>
      </c>
      <c r="H28" s="314"/>
      <c r="I28" s="314"/>
      <c r="J28" s="2"/>
      <c r="K28" s="13" t="s">
        <v>61</v>
      </c>
      <c r="L28" s="130">
        <f>S7</f>
        <v>0</v>
      </c>
      <c r="M28" s="131" t="e">
        <f ca="1">R6</f>
        <v>#DIV/0!</v>
      </c>
      <c r="N28" s="131" t="e">
        <f ca="1">S6</f>
        <v>#DIV/0!</v>
      </c>
      <c r="O28" s="41"/>
      <c r="P28" s="72" t="s">
        <v>3</v>
      </c>
      <c r="Q28" s="65">
        <v>0</v>
      </c>
      <c r="R28" s="79" t="s">
        <v>34</v>
      </c>
      <c r="S28" s="34">
        <f>L46</f>
        <v>0</v>
      </c>
      <c r="T28" s="2"/>
    </row>
    <row r="29" spans="1:20">
      <c r="A29" s="316"/>
      <c r="B29" s="316"/>
      <c r="C29" s="314"/>
      <c r="D29" s="314"/>
      <c r="E29" s="2"/>
      <c r="F29" s="316"/>
      <c r="G29" s="316"/>
      <c r="H29" s="314"/>
      <c r="I29" s="314"/>
      <c r="J29" s="2"/>
      <c r="K29" s="12" t="s">
        <v>17</v>
      </c>
      <c r="L29" s="14">
        <f ca="1">NOW()</f>
        <v>46315.395410185185</v>
      </c>
      <c r="M29" s="129" t="s">
        <v>59</v>
      </c>
      <c r="N29" s="107" t="e">
        <f ca="1">L30-N21/L20/24</f>
        <v>#DIV/0!</v>
      </c>
      <c r="O29" s="2"/>
      <c r="P29" s="46" t="s">
        <v>28</v>
      </c>
      <c r="Q29" s="82">
        <f>B39+G39+L39+L45+G45+B45</f>
        <v>0</v>
      </c>
      <c r="R29" s="36"/>
      <c r="S29" s="38"/>
      <c r="T29" s="2"/>
    </row>
    <row r="30" spans="1:20">
      <c r="A30" s="11" t="s">
        <v>10</v>
      </c>
      <c r="B30" s="9">
        <f ca="1">D26+D25+D24+D23</f>
        <v>0</v>
      </c>
      <c r="C30" s="11" t="s">
        <v>11</v>
      </c>
      <c r="D30" s="6">
        <f>B26+B25+B24+B23</f>
        <v>0</v>
      </c>
      <c r="E30" s="2"/>
      <c r="F30" s="11" t="s">
        <v>10</v>
      </c>
      <c r="G30" s="9">
        <f ca="1">I26+I25+I24+I23</f>
        <v>0</v>
      </c>
      <c r="H30" s="11" t="s">
        <v>11</v>
      </c>
      <c r="I30" s="6">
        <f>G26+G25+G24+G23</f>
        <v>0</v>
      </c>
      <c r="J30" s="2"/>
      <c r="K30" s="12" t="s">
        <v>10</v>
      </c>
      <c r="L30" s="15">
        <f ca="1">N24+N25+N26+N27</f>
        <v>0</v>
      </c>
      <c r="M30" s="12" t="s">
        <v>11</v>
      </c>
      <c r="N30" s="55">
        <f>L27+L26+L25+L24</f>
        <v>0</v>
      </c>
      <c r="O30" s="2"/>
      <c r="P30" s="64" t="s">
        <v>43</v>
      </c>
      <c r="Q30" s="34" t="e">
        <f>Q29/N30</f>
        <v>#DIV/0!</v>
      </c>
      <c r="R30" s="110" t="s">
        <v>49</v>
      </c>
      <c r="S30" s="108"/>
      <c r="T30" s="2"/>
    </row>
    <row r="31" spans="1:20">
      <c r="A31" s="11" t="s">
        <v>12</v>
      </c>
      <c r="B31" s="10" t="e">
        <f>B19/(B23+B24+B25+B26)</f>
        <v>#DIV/0!</v>
      </c>
      <c r="C31" s="284"/>
      <c r="D31" s="285"/>
      <c r="E31" s="2"/>
      <c r="F31" s="11" t="s">
        <v>12</v>
      </c>
      <c r="G31" s="10" t="e">
        <f>G19/(G23+G24+G25+G26)</f>
        <v>#DIV/0!</v>
      </c>
      <c r="H31" s="314"/>
      <c r="I31" s="314"/>
      <c r="J31" s="2"/>
      <c r="K31" s="12" t="s">
        <v>12</v>
      </c>
      <c r="L31" s="16" t="e">
        <f>N21/(L24+L25+L26+L27)</f>
        <v>#DIV/0!</v>
      </c>
      <c r="M31" s="327"/>
      <c r="N31" s="328"/>
      <c r="O31" s="2"/>
      <c r="P31" s="40"/>
      <c r="Q31" s="40"/>
      <c r="R31" s="21" t="s">
        <v>34</v>
      </c>
      <c r="S31" s="34" t="e">
        <f>S23/D13</f>
        <v>#DIV/0!</v>
      </c>
      <c r="T31" s="2"/>
    </row>
    <row r="32" spans="1:20">
      <c r="A32" s="11" t="s">
        <v>13</v>
      </c>
      <c r="B32" s="9" t="e">
        <f>B19/(B20*(B23+B24+B25+B26))/24</f>
        <v>#DIV/0!</v>
      </c>
      <c r="C32" s="308"/>
      <c r="D32" s="309"/>
      <c r="E32" s="2"/>
      <c r="F32" s="11" t="s">
        <v>13</v>
      </c>
      <c r="G32" s="9" t="e">
        <f>G19/(G20*(G23+G24+G25+G26))/24</f>
        <v>#DIV/0!</v>
      </c>
      <c r="H32" s="314"/>
      <c r="I32" s="314"/>
      <c r="J32" s="2"/>
      <c r="K32" s="12" t="s">
        <v>46</v>
      </c>
      <c r="L32" s="9">
        <f>MAX(IFERROR(G32,"0"),IFERROR(B32,"0"),IFERROR(L15,"0"),IFERROR(G15,"0"),IFERROR(B15,"0"),IFERROR(Q9,"0"))</f>
        <v>0</v>
      </c>
      <c r="M32" s="12" t="s">
        <v>42</v>
      </c>
      <c r="N32" s="109" t="e">
        <f ca="1">N21/L20/24</f>
        <v>#DIV/0!</v>
      </c>
      <c r="O32" s="2"/>
      <c r="P32" s="40"/>
      <c r="Q32" s="40"/>
      <c r="R32" s="22" t="s">
        <v>34</v>
      </c>
      <c r="S32" s="34" t="e">
        <f>S24/I13</f>
        <v>#DIV/0!</v>
      </c>
      <c r="T32" s="2"/>
    </row>
    <row r="33" spans="1:20">
      <c r="A33" s="47" t="s">
        <v>14</v>
      </c>
      <c r="B33" s="48" t="e">
        <f ca="1">B28+B32</f>
        <v>#DIV/0!</v>
      </c>
      <c r="C33" s="308"/>
      <c r="D33" s="309"/>
      <c r="E33" s="43"/>
      <c r="F33" s="47" t="s">
        <v>14</v>
      </c>
      <c r="G33" s="48" t="e">
        <f ca="1">G28+G32</f>
        <v>#DIV/0!</v>
      </c>
      <c r="H33" s="320"/>
      <c r="I33" s="320"/>
      <c r="J33" s="43"/>
      <c r="K33" s="49" t="s">
        <v>14</v>
      </c>
      <c r="L33" s="50">
        <f ca="1">MAX(IFERROR(G33,"0"),IFERROR(B33,"0"),IFERROR(L16,"0"),IFERROR(G16,"0"),IFERROR(B16,"0"),IFERROR(Q10,"0"))</f>
        <v>0</v>
      </c>
      <c r="M33" s="329"/>
      <c r="N33" s="330"/>
      <c r="O33" s="37"/>
      <c r="P33" s="40"/>
      <c r="Q33" s="40"/>
      <c r="R33" s="23" t="s">
        <v>53</v>
      </c>
      <c r="S33" s="34" t="e">
        <f>L40</f>
        <v>#DIV/0!</v>
      </c>
      <c r="T33" s="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52"/>
      <c r="L34" s="1"/>
      <c r="M34" s="1"/>
      <c r="N34" s="1"/>
      <c r="O34" s="2"/>
      <c r="P34" s="40"/>
      <c r="Q34" s="40"/>
      <c r="R34" s="24" t="s">
        <v>38</v>
      </c>
      <c r="S34" s="34" t="e">
        <f>S26/D30</f>
        <v>#DIV/0!</v>
      </c>
      <c r="T34" s="2"/>
    </row>
    <row r="35" spans="1:20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"/>
      <c r="P35" s="40"/>
      <c r="Q35" s="40"/>
      <c r="R35" s="25" t="s">
        <v>38</v>
      </c>
      <c r="S35" s="34" t="e">
        <f>S27/I30</f>
        <v>#DIV/0!</v>
      </c>
      <c r="T35" s="41"/>
    </row>
    <row r="36" spans="1:20">
      <c r="A36" s="42"/>
      <c r="B36" s="42"/>
      <c r="C36" s="42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56"/>
      <c r="O36" s="2"/>
      <c r="P36" s="40"/>
      <c r="Q36" s="40"/>
      <c r="R36" s="26" t="s">
        <v>34</v>
      </c>
      <c r="S36" s="34" t="e">
        <f>S28/S7</f>
        <v>#DIV/0!</v>
      </c>
      <c r="T36" s="41"/>
    </row>
    <row r="37" spans="1:20">
      <c r="A37" s="310" t="s">
        <v>0</v>
      </c>
      <c r="B37" s="310"/>
      <c r="C37" s="310"/>
      <c r="D37" s="310"/>
      <c r="E37" s="2"/>
      <c r="F37" s="311" t="s">
        <v>1</v>
      </c>
      <c r="G37" s="311"/>
      <c r="H37" s="311"/>
      <c r="I37" s="311"/>
      <c r="J37" s="2"/>
      <c r="K37" s="102" t="s">
        <v>2</v>
      </c>
      <c r="L37" s="102"/>
      <c r="M37" s="102"/>
      <c r="N37" s="105"/>
      <c r="O37" s="2"/>
      <c r="P37" s="308"/>
      <c r="Q37" s="333"/>
      <c r="R37" s="333"/>
      <c r="S37" s="333"/>
      <c r="T37" s="41"/>
    </row>
    <row r="38" spans="1:20">
      <c r="A38" s="17" t="s">
        <v>44</v>
      </c>
      <c r="B38" s="6">
        <f>B2</f>
        <v>0</v>
      </c>
      <c r="C38" s="11" t="s">
        <v>11</v>
      </c>
      <c r="D38" s="6">
        <f>D13</f>
        <v>0</v>
      </c>
      <c r="E38" s="2"/>
      <c r="F38" s="17" t="s">
        <v>44</v>
      </c>
      <c r="G38" s="6">
        <f>G2</f>
        <v>0</v>
      </c>
      <c r="H38" s="11" t="s">
        <v>11</v>
      </c>
      <c r="I38" s="6">
        <f>I13</f>
        <v>0</v>
      </c>
      <c r="J38" s="2"/>
      <c r="K38" s="17" t="s">
        <v>44</v>
      </c>
      <c r="L38" s="6">
        <f>L2</f>
        <v>0</v>
      </c>
      <c r="M38" s="11" t="s">
        <v>11</v>
      </c>
      <c r="N38" s="57">
        <f>N13</f>
        <v>0</v>
      </c>
      <c r="O38" s="2"/>
      <c r="P38" s="308"/>
      <c r="Q38" s="333"/>
      <c r="R38" s="333"/>
      <c r="S38" s="333"/>
      <c r="T38" s="41"/>
    </row>
    <row r="39" spans="1:20">
      <c r="A39" s="17" t="s">
        <v>47</v>
      </c>
      <c r="B39" s="6">
        <f>Q23</f>
        <v>0</v>
      </c>
      <c r="C39" s="314"/>
      <c r="D39" s="314"/>
      <c r="E39" s="2"/>
      <c r="F39" s="17" t="s">
        <v>47</v>
      </c>
      <c r="G39" s="6">
        <f>Q24</f>
        <v>0</v>
      </c>
      <c r="H39" s="314"/>
      <c r="I39" s="314"/>
      <c r="J39" s="2"/>
      <c r="K39" s="17" t="s">
        <v>52</v>
      </c>
      <c r="L39" s="6">
        <f>Q25</f>
        <v>0</v>
      </c>
      <c r="M39" s="93"/>
      <c r="N39" s="100"/>
      <c r="O39" s="2"/>
      <c r="P39" s="308"/>
      <c r="Q39" s="333"/>
      <c r="R39" s="333"/>
      <c r="S39" s="333"/>
      <c r="T39" s="41"/>
    </row>
    <row r="40" spans="1:20">
      <c r="A40" s="17" t="s">
        <v>50</v>
      </c>
      <c r="B40" s="18">
        <f>B39/9</f>
        <v>0</v>
      </c>
      <c r="C40" s="314"/>
      <c r="D40" s="314"/>
      <c r="E40" s="2"/>
      <c r="F40" s="17" t="s">
        <v>50</v>
      </c>
      <c r="G40" s="18">
        <f>G39/9</f>
        <v>0</v>
      </c>
      <c r="H40" s="314"/>
      <c r="I40" s="314"/>
      <c r="J40" s="2"/>
      <c r="K40" s="17" t="s">
        <v>43</v>
      </c>
      <c r="L40" s="18" t="e">
        <f>L39/N13</f>
        <v>#DIV/0!</v>
      </c>
      <c r="M40" s="93"/>
      <c r="N40" s="100"/>
      <c r="O40" s="2"/>
      <c r="P40" s="308"/>
      <c r="Q40" s="333"/>
      <c r="R40" s="333"/>
      <c r="S40" s="333"/>
      <c r="T40" s="41"/>
    </row>
    <row r="41" spans="1:20">
      <c r="A41" s="17" t="s">
        <v>51</v>
      </c>
      <c r="B41" s="18" t="e">
        <f>B40/D13</f>
        <v>#DIV/0!</v>
      </c>
      <c r="C41" s="314"/>
      <c r="D41" s="314"/>
      <c r="E41" s="2"/>
      <c r="F41" s="17" t="s">
        <v>51</v>
      </c>
      <c r="G41" s="18" t="e">
        <f>G40/I13</f>
        <v>#DIV/0!</v>
      </c>
      <c r="H41" s="314"/>
      <c r="I41" s="314"/>
      <c r="J41" s="2"/>
      <c r="K41" s="93"/>
      <c r="L41" s="93"/>
      <c r="M41" s="93"/>
      <c r="N41" s="100"/>
      <c r="O41" s="2"/>
      <c r="P41" s="308"/>
      <c r="Q41" s="333"/>
      <c r="R41" s="333"/>
      <c r="S41" s="333"/>
      <c r="T41" s="41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332"/>
      <c r="K42" s="2"/>
      <c r="L42" s="2"/>
      <c r="M42" s="2"/>
      <c r="N42" s="19"/>
      <c r="O42" s="2"/>
      <c r="P42" s="308"/>
      <c r="Q42" s="333"/>
      <c r="R42" s="333"/>
      <c r="S42" s="333"/>
      <c r="T42" s="41"/>
    </row>
    <row r="43" spans="1:20">
      <c r="A43" s="321" t="s">
        <v>18</v>
      </c>
      <c r="B43" s="321"/>
      <c r="C43" s="321"/>
      <c r="D43" s="321"/>
      <c r="E43" s="2"/>
      <c r="F43" s="322" t="s">
        <v>19</v>
      </c>
      <c r="G43" s="322"/>
      <c r="H43" s="322"/>
      <c r="I43" s="322"/>
      <c r="J43" s="332"/>
      <c r="K43" s="97" t="s">
        <v>3</v>
      </c>
      <c r="L43" s="97"/>
      <c r="M43" s="97"/>
      <c r="N43" s="101"/>
      <c r="O43" s="2"/>
      <c r="P43" s="308"/>
      <c r="Q43" s="333"/>
      <c r="R43" s="333"/>
      <c r="S43" s="333"/>
      <c r="T43" s="41"/>
    </row>
    <row r="44" spans="1:20">
      <c r="A44" s="17" t="s">
        <v>44</v>
      </c>
      <c r="B44" s="6">
        <f>B19</f>
        <v>0</v>
      </c>
      <c r="C44" s="11" t="s">
        <v>11</v>
      </c>
      <c r="D44" s="6">
        <f>D19</f>
        <v>0</v>
      </c>
      <c r="E44" s="2"/>
      <c r="F44" s="17" t="s">
        <v>44</v>
      </c>
      <c r="G44" s="6">
        <f>G19</f>
        <v>0</v>
      </c>
      <c r="H44" s="11" t="s">
        <v>11</v>
      </c>
      <c r="I44" s="6">
        <f>I19</f>
        <v>0</v>
      </c>
      <c r="J44" s="332"/>
      <c r="K44" s="17" t="s">
        <v>44</v>
      </c>
      <c r="L44" s="6">
        <f>Q2</f>
        <v>0</v>
      </c>
      <c r="M44" s="11" t="s">
        <v>11</v>
      </c>
      <c r="N44" s="57">
        <f>S7</f>
        <v>0</v>
      </c>
      <c r="O44" s="2"/>
      <c r="P44" s="308"/>
      <c r="Q44" s="333"/>
      <c r="R44" s="333"/>
      <c r="S44" s="333"/>
      <c r="T44" s="41"/>
    </row>
    <row r="45" spans="1:20">
      <c r="A45" s="17" t="s">
        <v>47</v>
      </c>
      <c r="B45" s="6">
        <f>Q26</f>
        <v>0</v>
      </c>
      <c r="C45" s="314"/>
      <c r="D45" s="314"/>
      <c r="E45" s="2"/>
      <c r="F45" s="17" t="s">
        <v>47</v>
      </c>
      <c r="G45" s="6">
        <f>Q27</f>
        <v>0</v>
      </c>
      <c r="H45" s="316"/>
      <c r="I45" s="316"/>
      <c r="J45" s="332"/>
      <c r="K45" s="17" t="s">
        <v>47</v>
      </c>
      <c r="L45" s="6">
        <f>Q28</f>
        <v>0</v>
      </c>
      <c r="M45" s="93"/>
      <c r="N45" s="100"/>
      <c r="O45" s="2"/>
      <c r="P45" s="308"/>
      <c r="Q45" s="333"/>
      <c r="R45" s="333"/>
      <c r="S45" s="333"/>
      <c r="T45" s="41"/>
    </row>
    <row r="46" spans="1:20">
      <c r="A46" s="17" t="s">
        <v>55</v>
      </c>
      <c r="B46" s="18">
        <f>B45/10</f>
        <v>0</v>
      </c>
      <c r="C46" s="314"/>
      <c r="D46" s="314"/>
      <c r="E46" s="2"/>
      <c r="F46" s="17" t="s">
        <v>55</v>
      </c>
      <c r="G46" s="18">
        <f>G45/10</f>
        <v>0</v>
      </c>
      <c r="H46" s="316"/>
      <c r="I46" s="316"/>
      <c r="J46" s="332"/>
      <c r="K46" s="17" t="s">
        <v>50</v>
      </c>
      <c r="L46" s="18">
        <f>L45/16</f>
        <v>0</v>
      </c>
      <c r="M46" s="93"/>
      <c r="N46" s="100"/>
      <c r="O46" s="2"/>
      <c r="P46" s="308"/>
      <c r="Q46" s="333"/>
      <c r="R46" s="333"/>
      <c r="S46" s="333"/>
      <c r="T46" s="41"/>
    </row>
    <row r="47" spans="1:20">
      <c r="A47" s="17" t="s">
        <v>57</v>
      </c>
      <c r="B47" s="18" t="e">
        <f>B46/D30</f>
        <v>#DIV/0!</v>
      </c>
      <c r="C47" s="314"/>
      <c r="D47" s="314"/>
      <c r="E47" s="2"/>
      <c r="F47" s="17" t="s">
        <v>57</v>
      </c>
      <c r="G47" s="18" t="e">
        <f>G46/I30</f>
        <v>#DIV/0!</v>
      </c>
      <c r="H47" s="316"/>
      <c r="I47" s="316"/>
      <c r="J47" s="332"/>
      <c r="K47" s="17" t="s">
        <v>51</v>
      </c>
      <c r="L47" s="18" t="e">
        <f>L46/N44</f>
        <v>#DIV/0!</v>
      </c>
      <c r="M47" s="93"/>
      <c r="N47" s="100"/>
      <c r="O47" s="2"/>
      <c r="P47" s="11" t="s">
        <v>17</v>
      </c>
      <c r="Q47" s="8">
        <f ca="1">NOW()</f>
        <v>46315.395410185185</v>
      </c>
      <c r="R47" s="35"/>
      <c r="S47" s="35"/>
      <c r="T47" s="41"/>
    </row>
    <row r="48" spans="1:20">
      <c r="A48" s="2"/>
      <c r="B48" s="39"/>
      <c r="C48" s="2"/>
      <c r="D48" s="2"/>
      <c r="E48" s="2"/>
      <c r="F48" s="2"/>
      <c r="G48" s="39"/>
      <c r="H48" s="2"/>
      <c r="I48" s="2"/>
      <c r="J48" s="2"/>
      <c r="K48" s="2"/>
      <c r="L48" s="2"/>
      <c r="M48" s="2"/>
      <c r="N48" s="19"/>
      <c r="O48" s="2"/>
      <c r="P48" s="51"/>
      <c r="Q48" s="42"/>
      <c r="R48" s="42"/>
      <c r="S48" s="42"/>
      <c r="T48" s="2"/>
    </row>
    <row r="65" spans="17:17">
      <c r="Q65">
        <v>4</v>
      </c>
    </row>
  </sheetData>
  <sheetProtection algorithmName="SHA-512" hashValue="FLgQDCmIZE+Lh2oqm4FBGVqlxGTPDn+VUS9KEAJJQ+mlvYD4vDCExHk2liVqj2ekf1tlQ8Av1Ymktr7YT9wPrQ==" saltValue="OeSnLkx162daQxU8rKqR9w==" spinCount="100000" sheet="1" objects="1" scenarios="1"/>
  <mergeCells count="42">
    <mergeCell ref="P37:S46"/>
    <mergeCell ref="C39:D41"/>
    <mergeCell ref="H39:I41"/>
    <mergeCell ref="J42:J47"/>
    <mergeCell ref="A43:D43"/>
    <mergeCell ref="F43:I43"/>
    <mergeCell ref="C45:D47"/>
    <mergeCell ref="H45:I47"/>
    <mergeCell ref="C31:D33"/>
    <mergeCell ref="H31:I33"/>
    <mergeCell ref="M31:N31"/>
    <mergeCell ref="M33:N33"/>
    <mergeCell ref="A37:D37"/>
    <mergeCell ref="F37:I37"/>
    <mergeCell ref="A27:B27"/>
    <mergeCell ref="C27:D29"/>
    <mergeCell ref="F27:G27"/>
    <mergeCell ref="H27:I29"/>
    <mergeCell ref="A29:B29"/>
    <mergeCell ref="F29:G29"/>
    <mergeCell ref="C14:D16"/>
    <mergeCell ref="H14:I16"/>
    <mergeCell ref="A18:D18"/>
    <mergeCell ref="F18:I18"/>
    <mergeCell ref="C19:D21"/>
    <mergeCell ref="H19:I21"/>
    <mergeCell ref="A21:B21"/>
    <mergeCell ref="R8:S10"/>
    <mergeCell ref="A10:B10"/>
    <mergeCell ref="C10:D12"/>
    <mergeCell ref="F10:G10"/>
    <mergeCell ref="H10:I12"/>
    <mergeCell ref="A12:B12"/>
    <mergeCell ref="F12:G12"/>
    <mergeCell ref="A1:D1"/>
    <mergeCell ref="F1:I1"/>
    <mergeCell ref="P1:S1"/>
    <mergeCell ref="C2:D4"/>
    <mergeCell ref="H2:I4"/>
    <mergeCell ref="R2:S4"/>
    <mergeCell ref="F4:G4"/>
    <mergeCell ref="P4:Q4"/>
  </mergeCells>
  <conditionalFormatting sqref="N21:N22">
    <cfRule type="cellIs" dxfId="55" priority="8" stopIfTrue="1" operator="greaterThan">
      <formula>$N$20</formula>
    </cfRule>
  </conditionalFormatting>
  <conditionalFormatting sqref="N19">
    <cfRule type="cellIs" dxfId="54" priority="7" operator="greaterThan">
      <formula>$N$21</formula>
    </cfRule>
  </conditionalFormatting>
  <conditionalFormatting sqref="N21">
    <cfRule type="cellIs" dxfId="53" priority="6" operator="lessThan">
      <formula>$N$20</formula>
    </cfRule>
  </conditionalFormatting>
  <conditionalFormatting sqref="N19">
    <cfRule type="cellIs" dxfId="52" priority="5" operator="equal">
      <formula>$N$20</formula>
    </cfRule>
  </conditionalFormatting>
  <conditionalFormatting sqref="N19">
    <cfRule type="cellIs" dxfId="51" priority="4" operator="lessThan">
      <formula>$N$21</formula>
    </cfRule>
  </conditionalFormatting>
  <conditionalFormatting sqref="N22">
    <cfRule type="cellIs" dxfId="50" priority="3" operator="lessThan">
      <formula>$N$20</formula>
    </cfRule>
  </conditionalFormatting>
  <conditionalFormatting sqref="N22">
    <cfRule type="cellIs" dxfId="49" priority="2" operator="equal">
      <formula>$N$21</formula>
    </cfRule>
  </conditionalFormatting>
  <conditionalFormatting sqref="L22">
    <cfRule type="containsErrors" dxfId="48" priority="1">
      <formula>ISERROR(L22)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34F3-EE33-4EE8-9506-4DA96AFD7BF6}">
  <sheetPr>
    <tabColor rgb="FFFFC000"/>
  </sheetPr>
  <dimension ref="A1:AB1675"/>
  <sheetViews>
    <sheetView showGridLines="0" showRowColHeaders="0" zoomScale="85" zoomScaleNormal="85" workbookViewId="0">
      <selection activeCell="Q17" sqref="Q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10">
        <v>2</v>
      </c>
      <c r="B1" s="310"/>
      <c r="C1" s="310"/>
      <c r="D1" s="310"/>
      <c r="E1" s="2"/>
      <c r="F1" s="311" t="s">
        <v>1</v>
      </c>
      <c r="G1" s="311"/>
      <c r="H1" s="311"/>
      <c r="I1" s="311"/>
      <c r="J1" s="2"/>
      <c r="K1" s="102" t="s">
        <v>2</v>
      </c>
      <c r="L1" s="102"/>
      <c r="M1" s="102"/>
      <c r="N1" s="102"/>
      <c r="O1" s="2"/>
      <c r="P1" s="253" t="s">
        <v>3</v>
      </c>
      <c r="Q1" s="254"/>
      <c r="R1" s="254"/>
      <c r="S1" s="283"/>
      <c r="T1" s="2"/>
    </row>
    <row r="2" spans="1:28">
      <c r="A2" s="11" t="s">
        <v>4</v>
      </c>
      <c r="B2" s="6">
        <f>Q12</f>
        <v>0</v>
      </c>
      <c r="C2" s="284"/>
      <c r="D2" s="285"/>
      <c r="E2" s="2"/>
      <c r="F2" s="11" t="s">
        <v>4</v>
      </c>
      <c r="G2" s="6">
        <f>Q13</f>
        <v>0</v>
      </c>
      <c r="H2" s="342"/>
      <c r="I2" s="343"/>
      <c r="J2" s="2"/>
      <c r="K2" s="6" t="s">
        <v>4</v>
      </c>
      <c r="L2" s="6">
        <f>Q14</f>
        <v>0</v>
      </c>
      <c r="M2" s="284"/>
      <c r="N2" s="285"/>
      <c r="O2" s="2"/>
      <c r="P2" s="6" t="s">
        <v>4</v>
      </c>
      <c r="Q2" s="6">
        <f>Q17</f>
        <v>0</v>
      </c>
      <c r="R2" s="284"/>
      <c r="S2" s="285"/>
      <c r="T2" s="2"/>
    </row>
    <row r="3" spans="1:28">
      <c r="A3" s="11" t="s">
        <v>5</v>
      </c>
      <c r="B3" s="6">
        <f>'Keräysteho kplh'!B2</f>
        <v>178</v>
      </c>
      <c r="C3" s="286"/>
      <c r="D3" s="287"/>
      <c r="E3" s="2"/>
      <c r="F3" s="11" t="s">
        <v>5</v>
      </c>
      <c r="G3" s="6">
        <f>'Keräysteho kplh'!B3</f>
        <v>73</v>
      </c>
      <c r="H3" s="344"/>
      <c r="I3" s="345"/>
      <c r="J3" s="2"/>
      <c r="K3" s="6" t="s">
        <v>5</v>
      </c>
      <c r="L3" s="6">
        <f>'Keräysteho kplh'!B4</f>
        <v>108</v>
      </c>
      <c r="M3" s="286"/>
      <c r="N3" s="287"/>
      <c r="O3" s="2"/>
      <c r="P3" s="6" t="s">
        <v>5</v>
      </c>
      <c r="Q3" s="6">
        <f>'Keräysteho kplh'!B7</f>
        <v>32</v>
      </c>
      <c r="R3" s="286"/>
      <c r="S3" s="287"/>
      <c r="T3" s="2"/>
    </row>
    <row r="4" spans="1:28">
      <c r="A4" s="11" t="s">
        <v>6</v>
      </c>
      <c r="B4" s="12" t="s">
        <v>7</v>
      </c>
      <c r="C4" s="11" t="s">
        <v>8</v>
      </c>
      <c r="D4" s="11" t="s">
        <v>9</v>
      </c>
      <c r="E4" s="5"/>
      <c r="F4" s="11" t="s">
        <v>6</v>
      </c>
      <c r="G4" s="12" t="s">
        <v>7</v>
      </c>
      <c r="H4" s="11" t="s">
        <v>8</v>
      </c>
      <c r="I4" s="11" t="s">
        <v>9</v>
      </c>
      <c r="J4" s="5"/>
      <c r="K4" s="11" t="s">
        <v>6</v>
      </c>
      <c r="L4" s="12" t="s">
        <v>7</v>
      </c>
      <c r="M4" s="11" t="s">
        <v>8</v>
      </c>
      <c r="N4" s="11" t="s">
        <v>9</v>
      </c>
      <c r="O4" s="2"/>
      <c r="P4" s="47" t="s">
        <v>6</v>
      </c>
      <c r="Q4" s="80"/>
      <c r="R4" s="47" t="s">
        <v>8</v>
      </c>
      <c r="S4" s="47" t="s">
        <v>9</v>
      </c>
      <c r="T4" s="2"/>
    </row>
    <row r="5" spans="1:28">
      <c r="A5" s="66">
        <f ca="1">TODAY()+TIME(11,0,0)</f>
        <v>46315.458333333336</v>
      </c>
      <c r="B5" s="65">
        <v>0</v>
      </c>
      <c r="C5" s="73">
        <f ca="1">A5-D13</f>
        <v>6.2923148150730412E-2</v>
      </c>
      <c r="D5" s="9">
        <f ca="1">B5*C5</f>
        <v>0</v>
      </c>
      <c r="E5" s="3"/>
      <c r="F5" s="66">
        <f ca="1">TODAY()+TIME(11,0,0)</f>
        <v>46315.458333333336</v>
      </c>
      <c r="G5" s="65">
        <v>0</v>
      </c>
      <c r="H5" s="73">
        <f ca="1">F5-I13</f>
        <v>6.2923148150730412E-2</v>
      </c>
      <c r="I5" s="9">
        <f ca="1">G5*H5</f>
        <v>0</v>
      </c>
      <c r="J5" s="3"/>
      <c r="K5" s="66">
        <f ca="1">TODAY()+TIME(11,0,0)</f>
        <v>46315.458333333336</v>
      </c>
      <c r="L5" s="65">
        <v>0</v>
      </c>
      <c r="M5" s="73">
        <f ca="1">K5-N13</f>
        <v>6.2923148150730412E-2</v>
      </c>
      <c r="N5" s="9">
        <f ca="1">L5*M5</f>
        <v>0</v>
      </c>
      <c r="O5" s="2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"/>
    </row>
    <row r="6" spans="1:28">
      <c r="A6" s="66">
        <f ca="1">TODAY()+TIME(12,0,0)</f>
        <v>46315.5</v>
      </c>
      <c r="B6" s="65">
        <v>0</v>
      </c>
      <c r="C6" s="73">
        <f ca="1">A6-D13</f>
        <v>0.10458981481497176</v>
      </c>
      <c r="D6" s="9">
        <f ca="1">B6*C6</f>
        <v>0</v>
      </c>
      <c r="E6" s="3"/>
      <c r="F6" s="66">
        <f ca="1">TODAY()+TIME(12,0,0)</f>
        <v>46315.5</v>
      </c>
      <c r="G6" s="65">
        <v>0</v>
      </c>
      <c r="H6" s="73">
        <f ca="1">F6-I13</f>
        <v>0.10458981481497176</v>
      </c>
      <c r="I6" s="9">
        <f ca="1">G6*H6</f>
        <v>0</v>
      </c>
      <c r="J6" s="3"/>
      <c r="K6" s="66">
        <f ca="1">TODAY()+TIME(12,0,0)</f>
        <v>46315.5</v>
      </c>
      <c r="L6" s="65">
        <v>0</v>
      </c>
      <c r="M6" s="73">
        <f ca="1">K6-N13</f>
        <v>0.10458981481497176</v>
      </c>
      <c r="N6" s="9">
        <f ca="1">L6*M6</f>
        <v>0</v>
      </c>
      <c r="O6" s="133"/>
      <c r="P6" s="11" t="s">
        <v>10</v>
      </c>
      <c r="Q6" s="9" t="e">
        <f ca="1">S5</f>
        <v>#VALUE!</v>
      </c>
      <c r="R6" s="11" t="s">
        <v>11</v>
      </c>
      <c r="S6" s="6">
        <f>Q5</f>
        <v>0</v>
      </c>
      <c r="T6" s="41"/>
    </row>
    <row r="7" spans="1:28">
      <c r="A7" s="66">
        <f ca="1">TODAY()+TIME(13,0,0)</f>
        <v>46315.541666666664</v>
      </c>
      <c r="B7" s="65">
        <v>0</v>
      </c>
      <c r="C7" s="73">
        <f ca="1">A7-D13</f>
        <v>0.14625648147921311</v>
      </c>
      <c r="D7" s="9">
        <f ca="1">B7*C7</f>
        <v>0</v>
      </c>
      <c r="E7" s="3"/>
      <c r="F7" s="66">
        <f ca="1">TODAY()+TIME(13,0,0)</f>
        <v>46315.541666666664</v>
      </c>
      <c r="G7" s="65">
        <v>0</v>
      </c>
      <c r="H7" s="73">
        <f ca="1">F7-I13</f>
        <v>0.14625648147921311</v>
      </c>
      <c r="I7" s="9">
        <f ca="1">G7*H7</f>
        <v>0</v>
      </c>
      <c r="J7" s="3"/>
      <c r="K7" s="66">
        <f ca="1">TODAY()+TIME(13,0,0)</f>
        <v>46315.541666666664</v>
      </c>
      <c r="L7" s="65">
        <v>0</v>
      </c>
      <c r="M7" s="73">
        <f ca="1">K7-N13</f>
        <v>0.14625648147921311</v>
      </c>
      <c r="N7" s="9">
        <f ca="1">L7*M7</f>
        <v>0</v>
      </c>
      <c r="O7" s="133"/>
      <c r="P7" s="11" t="s">
        <v>12</v>
      </c>
      <c r="Q7" s="10" t="e">
        <f>Q2/(Q5)</f>
        <v>#DIV/0!</v>
      </c>
      <c r="R7" s="284"/>
      <c r="S7" s="285"/>
      <c r="T7" s="41"/>
    </row>
    <row r="8" spans="1:28">
      <c r="A8" s="66">
        <f ca="1">TODAY()+TIME(14,0,0)</f>
        <v>46315.583333333336</v>
      </c>
      <c r="B8" s="65">
        <v>0</v>
      </c>
      <c r="C8" s="73">
        <f ca="1">A8-D13</f>
        <v>0.18792314815073041</v>
      </c>
      <c r="D8" s="9">
        <f ca="1">B8*C8</f>
        <v>0</v>
      </c>
      <c r="E8" s="3"/>
      <c r="F8" s="66">
        <f ca="1">TODAY()+TIME(14,0,0)</f>
        <v>46315.583333333336</v>
      </c>
      <c r="G8" s="65">
        <v>0</v>
      </c>
      <c r="H8" s="73">
        <f ca="1">F8-I13</f>
        <v>0.18792314815073041</v>
      </c>
      <c r="I8" s="9">
        <f ca="1">G8*H8</f>
        <v>0</v>
      </c>
      <c r="J8" s="3"/>
      <c r="K8" s="66">
        <f ca="1">TODAY()+TIME(14,0,0)</f>
        <v>46315.583333333336</v>
      </c>
      <c r="L8" s="65">
        <v>0</v>
      </c>
      <c r="M8" s="73">
        <f ca="1">K8-N13</f>
        <v>0.18792314815073041</v>
      </c>
      <c r="N8" s="9">
        <f ca="1">L8*M8</f>
        <v>0</v>
      </c>
      <c r="O8" s="133"/>
      <c r="P8" s="11" t="s">
        <v>13</v>
      </c>
      <c r="Q8" s="9" t="e">
        <f>Q2/(Q3*(Q5))/24</f>
        <v>#DIV/0!</v>
      </c>
      <c r="R8" s="308"/>
      <c r="S8" s="309"/>
      <c r="T8" s="41"/>
    </row>
    <row r="9" spans="1:28">
      <c r="A9" s="66">
        <f ca="1">TODAY()+TIME(15,0,0)</f>
        <v>46315.625</v>
      </c>
      <c r="B9" s="65">
        <v>0</v>
      </c>
      <c r="C9" s="73">
        <f ca="1">A9-D13</f>
        <v>0.22958981481497176</v>
      </c>
      <c r="D9" s="9">
        <f ca="1">B9*C9</f>
        <v>0</v>
      </c>
      <c r="E9" s="2"/>
      <c r="F9" s="66">
        <f ca="1">TODAY()+TIME(15,0,0)</f>
        <v>46315.625</v>
      </c>
      <c r="G9" s="65">
        <v>0</v>
      </c>
      <c r="H9" s="73">
        <f ca="1">F9-I13</f>
        <v>0.22958981481497176</v>
      </c>
      <c r="I9" s="9">
        <f ca="1">G9*H9</f>
        <v>0</v>
      </c>
      <c r="J9" s="2"/>
      <c r="K9" s="66">
        <f ca="1">TODAY()+TIME(15,0,0)</f>
        <v>46315.625</v>
      </c>
      <c r="L9" s="65">
        <v>0</v>
      </c>
      <c r="M9" s="73">
        <f ca="1">K9-N13</f>
        <v>0.22958981481497176</v>
      </c>
      <c r="N9" s="9">
        <f ca="1">L9*M9</f>
        <v>0</v>
      </c>
      <c r="O9" s="133"/>
      <c r="P9" s="11" t="s">
        <v>14</v>
      </c>
      <c r="Q9" s="8" t="str">
        <f ca="1">IFERROR(L25+Q8+IF(Q2&gt;=400,TIME(0,24,0),0),"")</f>
        <v/>
      </c>
      <c r="R9" s="286"/>
      <c r="S9" s="287"/>
      <c r="T9" s="41"/>
    </row>
    <row r="10" spans="1:28">
      <c r="A10" s="11" t="s">
        <v>10</v>
      </c>
      <c r="B10" s="9">
        <f ca="1">D5+D6+D7+D8+D9</f>
        <v>0</v>
      </c>
      <c r="C10" s="11" t="s">
        <v>11</v>
      </c>
      <c r="D10" s="6">
        <f>B9+B8+B7+B6+B5</f>
        <v>0</v>
      </c>
      <c r="E10" s="2"/>
      <c r="F10" s="11" t="s">
        <v>10</v>
      </c>
      <c r="G10" s="9">
        <f ca="1">I5+I6+I7+I8+I9</f>
        <v>0</v>
      </c>
      <c r="H10" s="11" t="s">
        <v>11</v>
      </c>
      <c r="I10" s="6">
        <f>G9+G8+G7+G6+G5</f>
        <v>0</v>
      </c>
      <c r="J10" s="2"/>
      <c r="K10" s="11" t="s">
        <v>10</v>
      </c>
      <c r="L10" s="9">
        <f ca="1">N9+N8+N7+N6+N5</f>
        <v>0</v>
      </c>
      <c r="M10" s="47" t="s">
        <v>11</v>
      </c>
      <c r="N10" s="232">
        <f>L9+L8+L7+L6+L5</f>
        <v>0</v>
      </c>
      <c r="O10" s="2"/>
      <c r="P10" s="41"/>
      <c r="Q10" s="2"/>
      <c r="R10" s="2"/>
      <c r="S10" s="2"/>
      <c r="T10" s="2"/>
    </row>
    <row r="11" spans="1:28">
      <c r="A11" s="11" t="s">
        <v>12</v>
      </c>
      <c r="B11" s="10" t="e">
        <f>B2/(B6+B7+B8+B9)</f>
        <v>#DIV/0!</v>
      </c>
      <c r="C11" s="136"/>
      <c r="D11" s="138"/>
      <c r="E11" s="2"/>
      <c r="F11" s="11" t="s">
        <v>12</v>
      </c>
      <c r="G11" s="10" t="e">
        <f>G2/(G6+G7+G8+G9)</f>
        <v>#DIV/0!</v>
      </c>
      <c r="H11" s="136"/>
      <c r="I11" s="138"/>
      <c r="J11" s="2"/>
      <c r="K11" s="11" t="s">
        <v>12</v>
      </c>
      <c r="L11" s="230" t="e">
        <f>L2/(L6+L7+L8+L9)</f>
        <v>#DIV/0!</v>
      </c>
      <c r="M11" s="235"/>
      <c r="N11" s="236"/>
      <c r="O11" s="41"/>
      <c r="P11" s="121" t="s">
        <v>15</v>
      </c>
      <c r="Q11" s="122"/>
      <c r="R11" s="124" t="s">
        <v>16</v>
      </c>
      <c r="S11" s="124"/>
      <c r="T11" s="2"/>
    </row>
    <row r="12" spans="1:28">
      <c r="A12" s="11" t="s">
        <v>13</v>
      </c>
      <c r="B12" s="9" t="e">
        <f>B2/(B3*(B6+B7+B8+B9+B5))/24</f>
        <v>#DIV/0!</v>
      </c>
      <c r="C12" s="137"/>
      <c r="D12" s="139"/>
      <c r="E12" s="2"/>
      <c r="F12" s="11" t="s">
        <v>13</v>
      </c>
      <c r="G12" s="9" t="e">
        <f>G2/(G3*(G6+G7+G8+G9+G5))/24</f>
        <v>#DIV/0!</v>
      </c>
      <c r="H12" s="137"/>
      <c r="I12" s="139"/>
      <c r="J12" s="2"/>
      <c r="K12" s="11" t="s">
        <v>13</v>
      </c>
      <c r="L12" s="231" t="e">
        <f>L2/(L3*(L6+L7+L8+L9+L5))/24</f>
        <v>#DIV/0!</v>
      </c>
      <c r="M12" s="237"/>
      <c r="N12" s="238"/>
      <c r="O12" s="41"/>
      <c r="P12" s="67" t="s">
        <v>0</v>
      </c>
      <c r="Q12" s="65">
        <v>0</v>
      </c>
      <c r="R12" s="58" t="s">
        <v>0</v>
      </c>
      <c r="S12" s="20" t="str">
        <f ca="1">B13</f>
        <v/>
      </c>
      <c r="T12" s="2"/>
      <c r="U12" s="186"/>
    </row>
    <row r="13" spans="1:28">
      <c r="A13" s="11" t="s">
        <v>14</v>
      </c>
      <c r="B13" s="8" t="str">
        <f ca="1">IFERROR(D13+B12+IF(B2&gt;=3000,TIME(0,24,0),0),"")</f>
        <v/>
      </c>
      <c r="C13" s="11" t="s">
        <v>17</v>
      </c>
      <c r="D13" s="8">
        <f ca="1">NOW()</f>
        <v>46315.395410185185</v>
      </c>
      <c r="E13" s="2"/>
      <c r="F13" s="11" t="s">
        <v>14</v>
      </c>
      <c r="G13" s="8" t="str">
        <f ca="1">IFERROR(I13+G12+IF(G2&gt;=1500,TIME(0,24,0),0),"")</f>
        <v/>
      </c>
      <c r="H13" s="11" t="s">
        <v>17</v>
      </c>
      <c r="I13" s="8">
        <f ca="1">NOW()</f>
        <v>46315.395410185185</v>
      </c>
      <c r="J13" s="2"/>
      <c r="K13" s="11" t="s">
        <v>14</v>
      </c>
      <c r="L13" s="8" t="str">
        <f ca="1">IFERROR(N13+L12+IF(L2&gt;=400,TIME(0,24,0),0),"")</f>
        <v/>
      </c>
      <c r="M13" s="233" t="s">
        <v>17</v>
      </c>
      <c r="N13" s="234">
        <f ca="1">NOW()</f>
        <v>46315.395410185185</v>
      </c>
      <c r="O13" s="2"/>
      <c r="P13" s="68" t="s">
        <v>1</v>
      </c>
      <c r="Q13" s="65">
        <v>0</v>
      </c>
      <c r="R13" s="59" t="s">
        <v>1</v>
      </c>
      <c r="S13" s="20" t="str">
        <f ca="1">G13</f>
        <v/>
      </c>
      <c r="T13" s="2"/>
    </row>
    <row r="14" spans="1:28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"/>
      <c r="O14" s="2"/>
      <c r="P14" s="69" t="s">
        <v>2</v>
      </c>
      <c r="Q14" s="65">
        <v>0</v>
      </c>
      <c r="R14" s="60" t="s">
        <v>2</v>
      </c>
      <c r="S14" s="20" t="str">
        <f ca="1">L13</f>
        <v/>
      </c>
      <c r="T14" s="2"/>
    </row>
    <row r="15" spans="1:28">
      <c r="A15" s="150" t="s">
        <v>18</v>
      </c>
      <c r="B15" s="151"/>
      <c r="C15" s="151"/>
      <c r="D15" s="152"/>
      <c r="E15" s="2"/>
      <c r="F15" s="153" t="s">
        <v>19</v>
      </c>
      <c r="G15" s="154"/>
      <c r="H15" s="154"/>
      <c r="I15" s="155"/>
      <c r="J15" s="2"/>
      <c r="K15" s="86" t="s">
        <v>20</v>
      </c>
      <c r="L15" s="87" t="e">
        <f ca="1">N29-N28-(L17/24)</f>
        <v>#DIV/0!</v>
      </c>
      <c r="M15" s="86" t="s">
        <v>21</v>
      </c>
      <c r="N15" s="88" t="e">
        <f ca="1">N16+(L16*L17)</f>
        <v>#DIV/0!</v>
      </c>
      <c r="O15" s="2"/>
      <c r="P15" s="70" t="s">
        <v>18</v>
      </c>
      <c r="Q15" s="65">
        <v>0</v>
      </c>
      <c r="R15" s="61" t="s">
        <v>18</v>
      </c>
      <c r="S15" s="20" t="str">
        <f ca="1">B27</f>
        <v/>
      </c>
      <c r="T15" s="2"/>
      <c r="AB15">
        <f ca="1">IFERROR(((N17-N16)/L16)/24,0)+IF(AA26&lt;0,-AA26,0)</f>
        <v>0</v>
      </c>
    </row>
    <row r="16" spans="1:28">
      <c r="A16" s="11" t="s">
        <v>4</v>
      </c>
      <c r="B16" s="6">
        <f>Q15</f>
        <v>0</v>
      </c>
      <c r="C16" s="136"/>
      <c r="D16" s="138"/>
      <c r="E16" s="2"/>
      <c r="F16" s="11" t="s">
        <v>4</v>
      </c>
      <c r="G16" s="6">
        <f>Q16</f>
        <v>0</v>
      </c>
      <c r="H16" s="136"/>
      <c r="I16" s="138"/>
      <c r="J16" s="2"/>
      <c r="K16" s="12" t="s">
        <v>22</v>
      </c>
      <c r="L16" s="90" t="e">
        <f ca="1">(B3*B10+G3*G10+L3*L10+B17*B24+G17*G24)/
(B10+G10+L10+B24+G24)</f>
        <v>#DIV/0!</v>
      </c>
      <c r="M16" s="86" t="s">
        <v>23</v>
      </c>
      <c r="N16" s="89" t="e">
        <f ca="1">L16*N28*24</f>
        <v>#DIV/0!</v>
      </c>
      <c r="O16" s="2"/>
      <c r="P16" s="71" t="s">
        <v>19</v>
      </c>
      <c r="Q16" s="65">
        <v>0</v>
      </c>
      <c r="R16" s="62" t="s">
        <v>19</v>
      </c>
      <c r="S16" s="20" t="str">
        <f ca="1">G27</f>
        <v/>
      </c>
      <c r="T16" s="2"/>
    </row>
    <row r="17" spans="1:27">
      <c r="A17" s="11" t="s">
        <v>5</v>
      </c>
      <c r="B17" s="6">
        <f>'Keräysteho kplh'!B5</f>
        <v>449</v>
      </c>
      <c r="C17" s="137"/>
      <c r="D17" s="139"/>
      <c r="E17" s="2"/>
      <c r="F17" s="11" t="s">
        <v>5</v>
      </c>
      <c r="G17" s="6">
        <f>'Keräysteho kplh'!B6</f>
        <v>401</v>
      </c>
      <c r="H17" s="137"/>
      <c r="I17" s="139"/>
      <c r="J17" s="2"/>
      <c r="K17" s="175" t="s">
        <v>24</v>
      </c>
      <c r="L17" s="222"/>
      <c r="M17" s="12" t="s">
        <v>25</v>
      </c>
      <c r="N17" s="13">
        <f>B2+G2+L2+B16+G16</f>
        <v>0</v>
      </c>
      <c r="O17" s="2"/>
      <c r="P17" s="72" t="s">
        <v>3</v>
      </c>
      <c r="Q17" s="65">
        <v>0</v>
      </c>
      <c r="R17" s="63" t="s">
        <v>3</v>
      </c>
      <c r="S17" s="8" t="str">
        <f ca="1">Q9</f>
        <v/>
      </c>
      <c r="T17" s="19"/>
    </row>
    <row r="18" spans="1:27">
      <c r="A18" s="11" t="s">
        <v>6</v>
      </c>
      <c r="B18" s="12" t="s">
        <v>7</v>
      </c>
      <c r="C18" s="11" t="s">
        <v>8</v>
      </c>
      <c r="D18" s="11" t="s">
        <v>9</v>
      </c>
      <c r="E18" s="5"/>
      <c r="F18" s="11" t="s">
        <v>6</v>
      </c>
      <c r="G18" s="12" t="s">
        <v>7</v>
      </c>
      <c r="H18" s="11" t="s">
        <v>8</v>
      </c>
      <c r="I18" s="11" t="s">
        <v>9</v>
      </c>
      <c r="J18" s="2"/>
      <c r="K18" s="209" t="s">
        <v>26</v>
      </c>
      <c r="L18" s="210">
        <f>L26*24/1440</f>
        <v>0</v>
      </c>
      <c r="M18" s="211" t="s">
        <v>27</v>
      </c>
      <c r="N18" s="211">
        <f>B2+G2+L2+Q2+B16+G16</f>
        <v>0</v>
      </c>
      <c r="O18" s="2"/>
      <c r="P18" s="46" t="s">
        <v>28</v>
      </c>
      <c r="Q18" s="82">
        <f>Q12+Q13+Q14+Q15+Q16+Q17</f>
        <v>0</v>
      </c>
      <c r="R18" s="33" t="s">
        <v>28</v>
      </c>
      <c r="S18" s="8">
        <f ca="1">L28</f>
        <v>0</v>
      </c>
      <c r="T18" s="19"/>
      <c r="U18" s="115"/>
      <c r="V18" s="116"/>
    </row>
    <row r="19" spans="1:27">
      <c r="A19" s="66">
        <f ca="1">TODAY()+TIME(11,0,0)</f>
        <v>46315.458333333336</v>
      </c>
      <c r="B19" s="65">
        <v>0</v>
      </c>
      <c r="C19" s="73">
        <f ca="1">A19-D27</f>
        <v>6.2923148150730412E-2</v>
      </c>
      <c r="D19" s="9">
        <f ca="1">B19*C19</f>
        <v>0</v>
      </c>
      <c r="E19" s="2"/>
      <c r="F19" s="66">
        <f ca="1">TODAY()+TIME(11,0,0)</f>
        <v>46315.458333333336</v>
      </c>
      <c r="G19" s="65">
        <v>0</v>
      </c>
      <c r="H19" s="73">
        <f ca="1">F19-I27</f>
        <v>6.2923148150730412E-2</v>
      </c>
      <c r="I19" s="9">
        <f ca="1">G19*H19</f>
        <v>0</v>
      </c>
      <c r="J19" s="174"/>
      <c r="K19" s="206" t="s">
        <v>6</v>
      </c>
      <c r="L19" s="206" t="s">
        <v>29</v>
      </c>
      <c r="M19" s="207" t="s">
        <v>30</v>
      </c>
      <c r="N19" s="208" t="e">
        <f ca="1">(B3*B10+G3*G10+L3*L10+Q3*Q6+B17*B24+G17*G24)/
(B10+G10+L10+Q6+B24+G24)</f>
        <v>#VALUE!</v>
      </c>
      <c r="O19" s="2"/>
      <c r="P19" s="201" t="s">
        <v>58</v>
      </c>
      <c r="Q19" s="202"/>
      <c r="R19" s="202" t="s">
        <v>50</v>
      </c>
      <c r="S19" s="202"/>
      <c r="T19" s="19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0.10458981481497176</v>
      </c>
      <c r="D20" s="9">
        <f ca="1">B20*C20</f>
        <v>0</v>
      </c>
      <c r="E20" s="2"/>
      <c r="F20" s="66">
        <f ca="1">TODAY()+TIME(12,0,0)</f>
        <v>46315.5</v>
      </c>
      <c r="G20" s="65">
        <v>0</v>
      </c>
      <c r="H20" s="73">
        <f ca="1">F20-I27</f>
        <v>0.10458981481497176</v>
      </c>
      <c r="I20" s="9">
        <f ca="1">G20*H20</f>
        <v>0</v>
      </c>
      <c r="J20" s="2"/>
      <c r="K20" s="212">
        <f ca="1">TODAY()+TIME(11,0,0)</f>
        <v>46315.458333333336</v>
      </c>
      <c r="L20" s="213">
        <f>G19+B19+B5+G5+L5</f>
        <v>0</v>
      </c>
      <c r="M20" s="214">
        <f ca="1">K20-L25</f>
        <v>6.2923148150730412E-2</v>
      </c>
      <c r="N20" s="215">
        <f ca="1">L20*M20</f>
        <v>0</v>
      </c>
      <c r="O20" s="19"/>
      <c r="P20" s="260" t="s">
        <v>31</v>
      </c>
      <c r="Q20" s="261"/>
      <c r="R20" s="260" t="s">
        <v>32</v>
      </c>
      <c r="S20" s="261"/>
      <c r="T20" s="200"/>
      <c r="U20" s="115"/>
      <c r="V20" s="117"/>
      <c r="X20" s="114"/>
    </row>
    <row r="21" spans="1:27">
      <c r="A21" s="66">
        <f ca="1">TODAY()+TIME(13,0,0)</f>
        <v>46315.541666666664</v>
      </c>
      <c r="B21" s="65">
        <v>0</v>
      </c>
      <c r="C21" s="73">
        <f ca="1">A21-D27</f>
        <v>0.14625648147921311</v>
      </c>
      <c r="D21" s="9">
        <f ca="1">B21*C21</f>
        <v>0</v>
      </c>
      <c r="E21" s="2"/>
      <c r="F21" s="66">
        <f ca="1">TODAY()+TIME(13,0,0)</f>
        <v>46315.541666666664</v>
      </c>
      <c r="G21" s="65">
        <v>0</v>
      </c>
      <c r="H21" s="73">
        <f ca="1">F21-I27</f>
        <v>0.14625648147921311</v>
      </c>
      <c r="I21" s="9">
        <f ca="1">G21*H21</f>
        <v>0</v>
      </c>
      <c r="J21" s="2"/>
      <c r="K21" s="14">
        <f ca="1">TODAY()+TIME(12,0,0)</f>
        <v>46315.5</v>
      </c>
      <c r="L21" s="13">
        <f>G20+B20+B6+G6+L6</f>
        <v>0</v>
      </c>
      <c r="M21" s="15">
        <f ca="1">K21-L25</f>
        <v>0.10458981481497176</v>
      </c>
      <c r="N21" s="54">
        <f ca="1">L21*M21</f>
        <v>0</v>
      </c>
      <c r="O21" s="19"/>
      <c r="P21" s="191" t="s">
        <v>33</v>
      </c>
      <c r="Q21" s="65">
        <v>0</v>
      </c>
      <c r="R21" s="192" t="s">
        <v>34</v>
      </c>
      <c r="S21" s="187">
        <f>Q21/25</f>
        <v>0</v>
      </c>
      <c r="T21" s="200"/>
      <c r="U21" s="115"/>
      <c r="V21" s="117"/>
      <c r="X21" s="114"/>
    </row>
    <row r="22" spans="1:27">
      <c r="A22" s="66">
        <f ca="1">TODAY()+TIME(14,0,0)</f>
        <v>46315.583333333336</v>
      </c>
      <c r="B22" s="65">
        <v>0</v>
      </c>
      <c r="C22" s="73">
        <f ca="1">A22-D27</f>
        <v>0.18792314815073041</v>
      </c>
      <c r="D22" s="9">
        <f ca="1">B22*C22</f>
        <v>0</v>
      </c>
      <c r="E22" s="2"/>
      <c r="F22" s="66">
        <f ca="1">TODAY()+TIME(14,0,0)</f>
        <v>46315.583333333336</v>
      </c>
      <c r="G22" s="65">
        <v>0</v>
      </c>
      <c r="H22" s="73">
        <f ca="1">F22-I27</f>
        <v>0.18792314815073041</v>
      </c>
      <c r="I22" s="9">
        <f ca="1">G22*H22</f>
        <v>0</v>
      </c>
      <c r="J22" s="2"/>
      <c r="K22" s="14">
        <f ca="1">TODAY()+TIME(13,0,0)</f>
        <v>46315.541666666664</v>
      </c>
      <c r="L22" s="13">
        <f>G21+B21+B7+G7+L7</f>
        <v>0</v>
      </c>
      <c r="M22" s="15">
        <f ca="1">K22-L25</f>
        <v>0.14625648147921311</v>
      </c>
      <c r="N22" s="54">
        <f ca="1">L22*M22</f>
        <v>0</v>
      </c>
      <c r="O22" s="19"/>
      <c r="P22" s="181" t="s">
        <v>0</v>
      </c>
      <c r="Q22" s="65">
        <v>0</v>
      </c>
      <c r="R22" s="193" t="s">
        <v>34</v>
      </c>
      <c r="S22" s="194">
        <f>B32</f>
        <v>0</v>
      </c>
      <c r="T22" s="200">
        <v>47</v>
      </c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0.22958981481497176</v>
      </c>
      <c r="D23" s="9">
        <f ca="1">B23*C23</f>
        <v>0</v>
      </c>
      <c r="E23" s="2"/>
      <c r="F23" s="66">
        <f ca="1">TODAY()+TIME(15,0,0)</f>
        <v>46315.625</v>
      </c>
      <c r="G23" s="65">
        <v>0</v>
      </c>
      <c r="H23" s="92">
        <f ca="1">F23-I27</f>
        <v>0.22958981481497176</v>
      </c>
      <c r="I23" s="9">
        <f ca="1">G23*H23</f>
        <v>0</v>
      </c>
      <c r="J23" s="2"/>
      <c r="K23" s="50">
        <f ca="1">TODAY()+TIME(14,0,0)</f>
        <v>46315.583333333336</v>
      </c>
      <c r="L23" s="211">
        <f>G22+B22+B8+G8+L8</f>
        <v>0</v>
      </c>
      <c r="M23" s="127">
        <f ca="1">K23-L25</f>
        <v>0.18792314815073041</v>
      </c>
      <c r="N23" s="128">
        <f ca="1">L23*M23</f>
        <v>0</v>
      </c>
      <c r="O23" s="19"/>
      <c r="P23" s="182" t="s">
        <v>1</v>
      </c>
      <c r="Q23" s="65">
        <v>0</v>
      </c>
      <c r="R23" s="195" t="s">
        <v>34</v>
      </c>
      <c r="S23" s="194">
        <f>G32</f>
        <v>0</v>
      </c>
      <c r="T23" s="200"/>
      <c r="U23" s="115"/>
      <c r="V23" s="117"/>
      <c r="X23" s="114"/>
    </row>
    <row r="24" spans="1:27">
      <c r="A24" s="11" t="s">
        <v>10</v>
      </c>
      <c r="B24" s="9">
        <f ca="1">D23+D22+D21+D20+D19</f>
        <v>0</v>
      </c>
      <c r="C24" s="11" t="s">
        <v>11</v>
      </c>
      <c r="D24" s="6">
        <f>B23+B22+B21+B20+B19</f>
        <v>0</v>
      </c>
      <c r="E24" s="2"/>
      <c r="F24" s="11" t="s">
        <v>10</v>
      </c>
      <c r="G24" s="9">
        <f ca="1">I23+I22+I21+I20+I19</f>
        <v>0</v>
      </c>
      <c r="H24" s="11" t="s">
        <v>11</v>
      </c>
      <c r="I24" s="6">
        <f>G23+G22+G21+G20+G19</f>
        <v>0</v>
      </c>
      <c r="J24" s="2"/>
      <c r="K24" s="216">
        <f ca="1">TODAY()+TIME(15,0,0)</f>
        <v>46315.625</v>
      </c>
      <c r="L24" s="217">
        <f>G23+B23+B9+G9+L9</f>
        <v>0</v>
      </c>
      <c r="M24" s="218">
        <f ca="1">K24-L25</f>
        <v>0.22958981481497176</v>
      </c>
      <c r="N24" s="219">
        <f ca="1">L24*M24</f>
        <v>0</v>
      </c>
      <c r="O24" s="19"/>
      <c r="P24" s="183" t="s">
        <v>2</v>
      </c>
      <c r="Q24" s="65">
        <v>0</v>
      </c>
      <c r="R24" s="196" t="s">
        <v>35</v>
      </c>
      <c r="S24" s="194" t="s">
        <v>36</v>
      </c>
      <c r="T24" s="200"/>
      <c r="U24" s="115"/>
      <c r="V24" s="118"/>
      <c r="X24" s="114"/>
    </row>
    <row r="25" spans="1:27">
      <c r="A25" s="11" t="s">
        <v>12</v>
      </c>
      <c r="B25" s="10" t="e">
        <f>B16/(B20+B21+B22+B23)</f>
        <v>#DIV/0!</v>
      </c>
      <c r="C25" s="136"/>
      <c r="D25" s="138"/>
      <c r="E25" s="2"/>
      <c r="F25" s="11" t="s">
        <v>12</v>
      </c>
      <c r="G25" s="10" t="e">
        <f>G16/(G20+G21+G22+G23)</f>
        <v>#DIV/0!</v>
      </c>
      <c r="H25" s="136"/>
      <c r="I25" s="138"/>
      <c r="J25" s="2"/>
      <c r="K25" s="176" t="s">
        <v>17</v>
      </c>
      <c r="L25" s="212">
        <f ca="1">NOW()</f>
        <v>46315.395410185185</v>
      </c>
      <c r="M25" s="220" t="s">
        <v>37</v>
      </c>
      <c r="N25" s="221" t="str">
        <f ca="1">IF(AA25&lt;0,"-","")&amp;INT(ROUND(ABS(AA25)*1440,0)/60)&amp;":"&amp;TEXT(MOD(ROUND(ABS(AA25)*1440,0),60),"00")</f>
        <v>0:00</v>
      </c>
      <c r="O25" s="200"/>
      <c r="P25" s="185" t="s">
        <v>18</v>
      </c>
      <c r="Q25" s="65">
        <v>0</v>
      </c>
      <c r="R25" s="197" t="s">
        <v>38</v>
      </c>
      <c r="S25" s="194">
        <f>B38</f>
        <v>0</v>
      </c>
      <c r="T25" s="200"/>
      <c r="U25" s="119"/>
      <c r="V25" s="118"/>
      <c r="AA25">
        <f ca="1">N28-IFERROR((B2/B3+G2/G3+L2/L3+B16/B17+G16/G17)/24,0)+L17/24</f>
        <v>0</v>
      </c>
    </row>
    <row r="26" spans="1:27">
      <c r="A26" s="11" t="s">
        <v>13</v>
      </c>
      <c r="B26" s="9" t="e">
        <f>B16/(B17*(B20+B21+B22+B23+B19))/24</f>
        <v>#DIV/0!</v>
      </c>
      <c r="C26" s="137"/>
      <c r="D26" s="139"/>
      <c r="E26" s="2"/>
      <c r="F26" s="11" t="s">
        <v>13</v>
      </c>
      <c r="G26" s="9" t="e">
        <f>G16/(G17*(G20+G21+G22+G23+G19))/24</f>
        <v>#DIV/0!</v>
      </c>
      <c r="H26" s="137"/>
      <c r="I26" s="139"/>
      <c r="J26" s="2"/>
      <c r="K26" s="12" t="s">
        <v>11</v>
      </c>
      <c r="L26" s="205">
        <f>L24+L23+L22+L21+L20</f>
        <v>0</v>
      </c>
      <c r="M26" s="204" t="s">
        <v>39</v>
      </c>
      <c r="N26" s="228" t="str">
        <f ca="1">IF(AA26&lt;0,"-","")&amp;INT(ROUND(ABS(AA26)*1440,0)/60)&amp;":"&amp;TEXT(MOD(ROUND(ABS(AA26)*1440,0),60),"00")</f>
        <v>0:00</v>
      </c>
      <c r="O26" s="200"/>
      <c r="P26" s="184" t="s">
        <v>19</v>
      </c>
      <c r="Q26" s="65">
        <v>0</v>
      </c>
      <c r="R26" s="198" t="s">
        <v>38</v>
      </c>
      <c r="S26" s="194">
        <f>D38</f>
        <v>0</v>
      </c>
      <c r="T26" s="200"/>
      <c r="AA26">
        <f ca="1">AA25-L18</f>
        <v>0</v>
      </c>
    </row>
    <row r="27" spans="1:27">
      <c r="A27" s="47" t="s">
        <v>14</v>
      </c>
      <c r="B27" s="48" t="str">
        <f ca="1">IFERROR(D27+B26+IF(B16&gt;=5000,TIME(0,24,0),0),"")</f>
        <v/>
      </c>
      <c r="C27" s="11" t="s">
        <v>17</v>
      </c>
      <c r="D27" s="8">
        <f ca="1">NOW()</f>
        <v>46315.395410185185</v>
      </c>
      <c r="E27" s="43"/>
      <c r="F27" s="47" t="s">
        <v>14</v>
      </c>
      <c r="G27" s="48" t="str">
        <f ca="1">IFERROR(I27+G26+IF(G16&gt;=5000,TIME(0,24,0),0),"")</f>
        <v/>
      </c>
      <c r="H27" s="11" t="s">
        <v>17</v>
      </c>
      <c r="I27" s="8">
        <f ca="1">NOW()</f>
        <v>46315.395410185185</v>
      </c>
      <c r="J27" s="2"/>
      <c r="K27" s="12" t="s">
        <v>12</v>
      </c>
      <c r="L27" s="16" t="e">
        <f>N17/(L21+L22+L23+L24)</f>
        <v>#DIV/0!</v>
      </c>
      <c r="M27" s="204" t="s">
        <v>40</v>
      </c>
      <c r="N27" s="227">
        <f ca="1">ABS(AA26+AA25)/2</f>
        <v>0</v>
      </c>
      <c r="O27" s="200"/>
      <c r="P27" s="180" t="s">
        <v>3</v>
      </c>
      <c r="Q27" s="65">
        <v>0</v>
      </c>
      <c r="R27" s="199" t="s">
        <v>34</v>
      </c>
      <c r="S27" s="194">
        <f>L39</f>
        <v>0</v>
      </c>
      <c r="T27" s="41"/>
    </row>
    <row r="28" spans="1:27">
      <c r="A28" s="1"/>
      <c r="B28" s="1"/>
      <c r="C28" s="1"/>
      <c r="D28" s="1"/>
      <c r="F28" s="1"/>
      <c r="G28" s="1"/>
      <c r="H28" s="1"/>
      <c r="I28" s="1"/>
      <c r="J28" s="2"/>
      <c r="K28" s="49" t="s">
        <v>14</v>
      </c>
      <c r="L28" s="50">
        <f ca="1">MAX(IFERROR(B27*1,0),IFERROR(G27*1,0),IFERROR(L13*1,0),IFERROR(G13*1,0),IFERROR(B13*1,0),IFERROR(Q9*1,0))</f>
        <v>0</v>
      </c>
      <c r="M28" s="12" t="s">
        <v>10</v>
      </c>
      <c r="N28" s="15">
        <f ca="1">N21+N22+N23+N24+N20</f>
        <v>0</v>
      </c>
      <c r="O28" s="200"/>
      <c r="P28" s="190" t="s">
        <v>28</v>
      </c>
      <c r="Q28" s="189">
        <f>B31+D31+L34+L38+D37+B37</f>
        <v>0</v>
      </c>
      <c r="R28" s="190" t="s">
        <v>28</v>
      </c>
      <c r="S28" s="187">
        <f>S27+S26+S25+S23+S22+S21</f>
        <v>0</v>
      </c>
      <c r="T28" s="41"/>
    </row>
    <row r="29" spans="1:27">
      <c r="A29" s="144" t="s">
        <v>0</v>
      </c>
      <c r="B29" s="145"/>
      <c r="C29" s="145"/>
      <c r="D29" s="146"/>
      <c r="E29" s="2"/>
      <c r="F29" s="147" t="s">
        <v>1</v>
      </c>
      <c r="G29" s="148"/>
      <c r="H29" s="148"/>
      <c r="I29" s="149"/>
      <c r="J29" s="2"/>
      <c r="K29" s="49" t="s">
        <v>41</v>
      </c>
      <c r="L29" s="50">
        <f ca="1">L28+(L18/24)</f>
        <v>0</v>
      </c>
      <c r="M29" s="12" t="s">
        <v>42</v>
      </c>
      <c r="N29" s="229" t="e">
        <f ca="1">N17/L16/24</f>
        <v>#DIV/0!</v>
      </c>
      <c r="O29" s="200"/>
      <c r="P29" s="173" t="s">
        <v>43</v>
      </c>
      <c r="Q29" s="194" t="e">
        <f>Q28/L26</f>
        <v>#DIV/0!</v>
      </c>
      <c r="R29" s="173" t="s">
        <v>43</v>
      </c>
      <c r="S29" s="187" t="e">
        <f>S28/L26</f>
        <v>#DIV/0!</v>
      </c>
      <c r="T29" s="41"/>
    </row>
    <row r="30" spans="1:27">
      <c r="A30" s="17" t="s">
        <v>44</v>
      </c>
      <c r="B30" s="6">
        <f>B2</f>
        <v>0</v>
      </c>
      <c r="C30" s="11" t="s">
        <v>11</v>
      </c>
      <c r="D30" s="6">
        <f>D10</f>
        <v>0</v>
      </c>
      <c r="E30" s="2"/>
      <c r="F30" s="17" t="s">
        <v>44</v>
      </c>
      <c r="G30" s="6">
        <f>G2</f>
        <v>0</v>
      </c>
      <c r="H30" s="11" t="s">
        <v>11</v>
      </c>
      <c r="I30" s="6">
        <f>I10</f>
        <v>0</v>
      </c>
      <c r="J30" s="43"/>
      <c r="K30" s="226" t="s">
        <v>45</v>
      </c>
      <c r="L30" s="225">
        <f ca="1">AVERAGE(L28,L29)</f>
        <v>0</v>
      </c>
      <c r="M30" s="12" t="s">
        <v>46</v>
      </c>
      <c r="N30" s="9">
        <f>MAX(IFERROR(B26*1,0),IFERROR(G26*1,0),IFERROR(L12*1,0),IFERROR(G12*1,0),IFERROR(B12*1,0),IFERROR(Q8*1,0))</f>
        <v>0</v>
      </c>
      <c r="O30" s="41"/>
      <c r="P30" s="203"/>
      <c r="Q30" s="203"/>
      <c r="R30" s="203"/>
      <c r="S30" s="188"/>
      <c r="T30" s="2"/>
    </row>
    <row r="31" spans="1:27">
      <c r="A31" s="17" t="s">
        <v>47</v>
      </c>
      <c r="B31" s="6">
        <f>Q22</f>
        <v>0</v>
      </c>
      <c r="C31" s="136"/>
      <c r="D31" s="138"/>
      <c r="E31" s="2"/>
      <c r="F31" s="17" t="s">
        <v>47</v>
      </c>
      <c r="G31" s="6">
        <f>Q23</f>
        <v>0</v>
      </c>
      <c r="H31" s="136"/>
      <c r="I31" s="138"/>
      <c r="K31" s="52"/>
      <c r="L31" s="1"/>
      <c r="M31" s="1"/>
      <c r="N31" s="1"/>
      <c r="O31" s="19"/>
      <c r="P31" s="178" t="s">
        <v>48</v>
      </c>
      <c r="Q31" s="179"/>
      <c r="R31" s="168" t="s">
        <v>49</v>
      </c>
      <c r="S31" s="169"/>
      <c r="T31" s="41"/>
    </row>
    <row r="32" spans="1:27">
      <c r="A32" s="17" t="s">
        <v>50</v>
      </c>
      <c r="B32" s="18">
        <f>B31/9</f>
        <v>0</v>
      </c>
      <c r="C32" s="137"/>
      <c r="D32" s="139"/>
      <c r="E32" s="2"/>
      <c r="F32" s="17" t="s">
        <v>50</v>
      </c>
      <c r="G32" s="18">
        <f>G31/9</f>
        <v>0</v>
      </c>
      <c r="H32" s="137"/>
      <c r="I32" s="139"/>
      <c r="J32" s="2"/>
      <c r="K32" s="102" t="s">
        <v>2</v>
      </c>
      <c r="L32" s="102"/>
      <c r="M32" s="102"/>
      <c r="N32" s="105"/>
      <c r="O32" s="19"/>
      <c r="P32" s="262" t="s">
        <v>0</v>
      </c>
      <c r="Q32" s="262"/>
      <c r="R32" s="74" t="s">
        <v>34</v>
      </c>
      <c r="S32" s="170" t="e">
        <f>S22/D10</f>
        <v>#DIV/0!</v>
      </c>
      <c r="T32" s="41"/>
    </row>
    <row r="33" spans="1:20">
      <c r="A33" s="17" t="s">
        <v>51</v>
      </c>
      <c r="B33" s="18" t="e">
        <f>B32/D10</f>
        <v>#DIV/0!</v>
      </c>
      <c r="C33" s="140"/>
      <c r="D33" s="141"/>
      <c r="E33" s="2"/>
      <c r="F33" s="17" t="s">
        <v>51</v>
      </c>
      <c r="G33" s="18" t="e">
        <f>G32/I10</f>
        <v>#DIV/0!</v>
      </c>
      <c r="H33" s="140"/>
      <c r="I33" s="141"/>
      <c r="J33" s="2"/>
      <c r="K33" s="17" t="s">
        <v>44</v>
      </c>
      <c r="L33" s="6">
        <f>L2</f>
        <v>0</v>
      </c>
      <c r="M33" s="11" t="s">
        <v>11</v>
      </c>
      <c r="N33" s="57">
        <f>N10</f>
        <v>0</v>
      </c>
      <c r="O33" s="172"/>
      <c r="P33" s="263" t="s">
        <v>1</v>
      </c>
      <c r="Q33" s="263"/>
      <c r="R33" s="75" t="s">
        <v>34</v>
      </c>
      <c r="S33" s="170" t="e">
        <f>S23/I10</f>
        <v>#DIV/0!</v>
      </c>
      <c r="T33" s="167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17" t="s">
        <v>52</v>
      </c>
      <c r="L34" s="6">
        <f>Q24</f>
        <v>0</v>
      </c>
      <c r="M34" s="17" t="s">
        <v>43</v>
      </c>
      <c r="N34" s="18" t="e">
        <f>L34/N10</f>
        <v>#DIV/0!</v>
      </c>
      <c r="O34" s="19"/>
      <c r="P34" s="259" t="s">
        <v>2</v>
      </c>
      <c r="Q34" s="259"/>
      <c r="R34" s="76" t="s">
        <v>53</v>
      </c>
      <c r="S34" s="170" t="e">
        <f>N34</f>
        <v>#DIV/0!</v>
      </c>
      <c r="T34" s="167"/>
    </row>
    <row r="35" spans="1:20">
      <c r="A35" s="150" t="s">
        <v>18</v>
      </c>
      <c r="B35" s="151"/>
      <c r="C35" s="151"/>
      <c r="D35" s="152"/>
      <c r="E35" s="2"/>
      <c r="F35" s="153" t="s">
        <v>19</v>
      </c>
      <c r="G35" s="154"/>
      <c r="H35" s="154"/>
      <c r="I35" s="155"/>
      <c r="J35" s="2"/>
      <c r="K35" s="2"/>
      <c r="L35" s="2"/>
      <c r="M35" s="2"/>
      <c r="N35" s="19"/>
      <c r="O35" s="19"/>
      <c r="P35" s="305" t="s">
        <v>18</v>
      </c>
      <c r="Q35" s="305"/>
      <c r="R35" s="77" t="s">
        <v>38</v>
      </c>
      <c r="S35" s="170" t="e">
        <f>S25/D24</f>
        <v>#DIV/0!</v>
      </c>
      <c r="T35" s="41"/>
    </row>
    <row r="36" spans="1:20">
      <c r="A36" s="17" t="s">
        <v>44</v>
      </c>
      <c r="B36" s="6">
        <f>B16</f>
        <v>0</v>
      </c>
      <c r="C36" s="11" t="s">
        <v>11</v>
      </c>
      <c r="D36" s="6">
        <f>D16</f>
        <v>0</v>
      </c>
      <c r="E36" s="2"/>
      <c r="F36" s="17" t="s">
        <v>44</v>
      </c>
      <c r="G36" s="6">
        <f>G16</f>
        <v>0</v>
      </c>
      <c r="H36" s="11" t="s">
        <v>11</v>
      </c>
      <c r="I36" s="6">
        <f>I16</f>
        <v>0</v>
      </c>
      <c r="J36" s="2"/>
      <c r="K36" s="97" t="s">
        <v>3</v>
      </c>
      <c r="L36" s="97"/>
      <c r="M36" s="97"/>
      <c r="N36" s="101"/>
      <c r="O36" s="19"/>
      <c r="P36" s="306" t="s">
        <v>19</v>
      </c>
      <c r="Q36" s="306"/>
      <c r="R36" s="78" t="s">
        <v>38</v>
      </c>
      <c r="S36" s="170" t="e">
        <f>S26/I24</f>
        <v>#DIV/0!</v>
      </c>
      <c r="T36" s="41"/>
    </row>
    <row r="37" spans="1:20">
      <c r="A37" s="17" t="s">
        <v>47</v>
      </c>
      <c r="B37" s="6">
        <f>Q25</f>
        <v>0</v>
      </c>
      <c r="C37" s="136"/>
      <c r="D37" s="138"/>
      <c r="E37" s="2"/>
      <c r="F37" s="17" t="s">
        <v>47</v>
      </c>
      <c r="G37" s="6">
        <f>Q26</f>
        <v>0</v>
      </c>
      <c r="H37" s="157"/>
      <c r="I37" s="158"/>
      <c r="J37" s="142"/>
      <c r="K37" s="17" t="s">
        <v>44</v>
      </c>
      <c r="L37" s="6">
        <f>Q2</f>
        <v>0</v>
      </c>
      <c r="M37" s="11" t="s">
        <v>11</v>
      </c>
      <c r="N37" s="57">
        <f>S6</f>
        <v>0</v>
      </c>
      <c r="O37" s="19"/>
      <c r="P37" s="307" t="s">
        <v>3</v>
      </c>
      <c r="Q37" s="307"/>
      <c r="R37" s="177" t="s">
        <v>34</v>
      </c>
      <c r="S37" s="171" t="e">
        <f>S27/S6</f>
        <v>#DIV/0!</v>
      </c>
      <c r="T37" s="41"/>
    </row>
    <row r="38" spans="1:20" ht="15" customHeight="1">
      <c r="A38" s="17" t="s">
        <v>55</v>
      </c>
      <c r="B38" s="18">
        <f>B37/10</f>
        <v>0</v>
      </c>
      <c r="C38" s="137"/>
      <c r="D38" s="139"/>
      <c r="E38" s="2"/>
      <c r="F38" s="17" t="s">
        <v>55</v>
      </c>
      <c r="G38" s="18">
        <f>G37/10</f>
        <v>0</v>
      </c>
      <c r="H38" s="159"/>
      <c r="I38" s="160"/>
      <c r="J38" s="156"/>
      <c r="K38" s="17" t="s">
        <v>47</v>
      </c>
      <c r="L38" s="6">
        <f>Q27</f>
        <v>0</v>
      </c>
      <c r="M38" s="295"/>
      <c r="N38" s="296"/>
      <c r="O38" s="19"/>
      <c r="P38" s="338">
        <f ca="1">NOW()</f>
        <v>46315.395410185185</v>
      </c>
      <c r="Q38" s="340" t="s">
        <v>56</v>
      </c>
      <c r="R38" s="334">
        <f ca="1">I27</f>
        <v>46315.395410185185</v>
      </c>
      <c r="S38" s="335"/>
      <c r="T38" s="41"/>
    </row>
    <row r="39" spans="1:20" ht="15" customHeight="1">
      <c r="A39" s="17" t="s">
        <v>57</v>
      </c>
      <c r="B39" s="18" t="e">
        <f>B38/D24</f>
        <v>#DIV/0!</v>
      </c>
      <c r="C39" s="140"/>
      <c r="D39" s="141"/>
      <c r="E39" s="2"/>
      <c r="F39" s="17" t="s">
        <v>57</v>
      </c>
      <c r="G39" s="18" t="e">
        <f>G38/I24</f>
        <v>#DIV/0!</v>
      </c>
      <c r="H39" s="161"/>
      <c r="I39" s="162"/>
      <c r="J39" s="156"/>
      <c r="K39" s="17" t="s">
        <v>50</v>
      </c>
      <c r="L39" s="18">
        <f>L38/16</f>
        <v>0</v>
      </c>
      <c r="M39" s="17" t="s">
        <v>51</v>
      </c>
      <c r="N39" s="18" t="e">
        <f>L39/N37</f>
        <v>#DIV/0!</v>
      </c>
      <c r="O39" s="19"/>
      <c r="P39" s="339"/>
      <c r="Q39" s="341"/>
      <c r="R39" s="336"/>
      <c r="S39" s="337"/>
      <c r="T39" s="167"/>
    </row>
    <row r="40" spans="1:20">
      <c r="A40" s="43"/>
      <c r="B40" s="166"/>
      <c r="C40" s="43"/>
      <c r="D40" s="43"/>
      <c r="E40" s="43"/>
      <c r="F40" s="43"/>
      <c r="G40" s="166"/>
      <c r="H40" s="43"/>
      <c r="I40" s="43"/>
      <c r="J40" s="156"/>
      <c r="K40" s="43"/>
      <c r="L40" s="43"/>
      <c r="M40" s="43"/>
      <c r="N40" s="143"/>
      <c r="O40" s="43"/>
      <c r="P40" s="42"/>
      <c r="Q40" s="42"/>
      <c r="R40" s="42"/>
      <c r="S40" s="56"/>
      <c r="T40" s="4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20">
    <mergeCell ref="P34:Q34"/>
    <mergeCell ref="A1:D1"/>
    <mergeCell ref="F1:I1"/>
    <mergeCell ref="P1:S1"/>
    <mergeCell ref="C2:D3"/>
    <mergeCell ref="H2:I3"/>
    <mergeCell ref="M2:N3"/>
    <mergeCell ref="R2:S3"/>
    <mergeCell ref="R7:S9"/>
    <mergeCell ref="P20:Q20"/>
    <mergeCell ref="R20:S20"/>
    <mergeCell ref="P32:Q32"/>
    <mergeCell ref="P33:Q33"/>
    <mergeCell ref="R38:S39"/>
    <mergeCell ref="P35:Q35"/>
    <mergeCell ref="P36:Q36"/>
    <mergeCell ref="P37:Q37"/>
    <mergeCell ref="M38:N38"/>
    <mergeCell ref="P38:P39"/>
    <mergeCell ref="Q38:Q39"/>
  </mergeCells>
  <conditionalFormatting sqref="S12:S17">
    <cfRule type="cellIs" dxfId="47" priority="24" operator="equal">
      <formula>$S$18</formula>
    </cfRule>
  </conditionalFormatting>
  <conditionalFormatting sqref="N17:N18">
    <cfRule type="cellIs" dxfId="46" priority="21" stopIfTrue="1" operator="greaterThan">
      <formula>$N$16</formula>
    </cfRule>
  </conditionalFormatting>
  <conditionalFormatting sqref="N15">
    <cfRule type="cellIs" dxfId="45" priority="20" operator="greaterThan">
      <formula>$N$17</formula>
    </cfRule>
  </conditionalFormatting>
  <conditionalFormatting sqref="N17">
    <cfRule type="cellIs" dxfId="44" priority="19" operator="lessThan">
      <formula>$N$16</formula>
    </cfRule>
  </conditionalFormatting>
  <conditionalFormatting sqref="N15">
    <cfRule type="cellIs" dxfId="43" priority="18" operator="equal">
      <formula>$N$17</formula>
    </cfRule>
  </conditionalFormatting>
  <conditionalFormatting sqref="N15">
    <cfRule type="cellIs" dxfId="42" priority="17" operator="lessThan">
      <formula>$N$17</formula>
    </cfRule>
  </conditionalFormatting>
  <conditionalFormatting sqref="N18">
    <cfRule type="cellIs" dxfId="41" priority="16" operator="lessThan">
      <formula>$N$16</formula>
    </cfRule>
  </conditionalFormatting>
  <conditionalFormatting sqref="N18">
    <cfRule type="cellIs" dxfId="40" priority="15" operator="equal">
      <formula>$N$17</formula>
    </cfRule>
  </conditionalFormatting>
  <conditionalFormatting sqref="N19">
    <cfRule type="containsErrors" dxfId="39" priority="14">
      <formula>ISERROR(N19)</formula>
    </cfRule>
  </conditionalFormatting>
  <conditionalFormatting sqref="L15">
    <cfRule type="containsText" dxfId="38" priority="13" operator="containsText" text="-">
      <formula>NOT(ISERROR(SEARCH("-",L15)))</formula>
    </cfRule>
  </conditionalFormatting>
  <conditionalFormatting sqref="L15">
    <cfRule type="notContainsText" dxfId="37" priority="12" operator="notContains" text="-">
      <formula>ISERROR(SEARCH("-",L15))</formula>
    </cfRule>
  </conditionalFormatting>
  <conditionalFormatting sqref="L15">
    <cfRule type="cellIs" dxfId="36" priority="11" operator="equal">
      <formula>0</formula>
    </cfRule>
  </conditionalFormatting>
  <conditionalFormatting sqref="N26">
    <cfRule type="containsText" dxfId="35" priority="9" operator="containsText" text="-">
      <formula>NOT(ISERROR(SEARCH("-",N26)))</formula>
    </cfRule>
    <cfRule type="cellIs" dxfId="34" priority="10" operator="greaterThan">
      <formula>0</formula>
    </cfRule>
  </conditionalFormatting>
  <conditionalFormatting sqref="N25">
    <cfRule type="containsText" dxfId="33" priority="7" operator="containsText" text="-">
      <formula>NOT(ISERROR(SEARCH("-",N25)))</formula>
    </cfRule>
  </conditionalFormatting>
  <conditionalFormatting sqref="N25">
    <cfRule type="cellIs" dxfId="32" priority="8" operator="greaterThan">
      <formula>0</formula>
    </cfRule>
  </conditionalFormatting>
  <conditionalFormatting sqref="L15">
    <cfRule type="containsErrors" dxfId="31" priority="6">
      <formula>ISERROR(L15)</formula>
    </cfRule>
  </conditionalFormatting>
  <conditionalFormatting sqref="N25">
    <cfRule type="containsText" dxfId="30" priority="5" operator="containsText" text="0:00">
      <formula>NOT(ISERROR(SEARCH("0:00",N25)))</formula>
    </cfRule>
  </conditionalFormatting>
  <conditionalFormatting sqref="N26">
    <cfRule type="containsText" dxfId="29" priority="4" operator="containsText" text="0:00">
      <formula>NOT(ISERROR(SEARCH("0:00",N26)))</formula>
    </cfRule>
  </conditionalFormatting>
  <conditionalFormatting sqref="N27">
    <cfRule type="cellIs" dxfId="28" priority="3" operator="greaterThan">
      <formula>0</formula>
    </cfRule>
  </conditionalFormatting>
  <conditionalFormatting sqref="N27">
    <cfRule type="cellIs" dxfId="27" priority="2" operator="equal">
      <formula>0</formula>
    </cfRule>
  </conditionalFormatting>
  <conditionalFormatting sqref="N27">
    <cfRule type="containsText" dxfId="26" priority="1" operator="containsText" text="-">
      <formula>NOT(ISERROR(SEARCH("-",N27)))</formula>
    </cfRule>
  </conditionalFormatting>
  <conditionalFormatting sqref="N29">
    <cfRule type="cellIs" dxfId="25" priority="22" operator="greaterThan">
      <formula>$N$28</formula>
    </cfRule>
  </conditionalFormatting>
  <conditionalFormatting sqref="N29">
    <cfRule type="cellIs" dxfId="24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D841-ACCC-43D7-85B3-B47970370222}">
  <sheetPr>
    <tabColor rgb="FFFF00BB"/>
  </sheetPr>
  <dimension ref="A1:AB1675"/>
  <sheetViews>
    <sheetView showGridLines="0" showRowColHeaders="0" zoomScale="85" zoomScaleNormal="85" workbookViewId="0">
      <selection activeCell="D17" sqref="D17"/>
    </sheetView>
  </sheetViews>
  <sheetFormatPr defaultRowHeight="15"/>
  <cols>
    <col min="1" max="1" width="23.7109375" customWidth="1"/>
    <col min="2" max="2" width="10.42578125" customWidth="1"/>
    <col min="3" max="3" width="18" customWidth="1"/>
    <col min="4" max="4" width="19.5703125" customWidth="1"/>
    <col min="5" max="5" width="2.7109375" style="1" customWidth="1"/>
    <col min="6" max="6" width="23.7109375" customWidth="1"/>
    <col min="7" max="7" width="10.42578125" customWidth="1"/>
    <col min="8" max="8" width="18" customWidth="1"/>
    <col min="9" max="9" width="19.5703125" customWidth="1"/>
    <col min="10" max="10" width="2.7109375" style="1" customWidth="1"/>
    <col min="11" max="11" width="23.7109375" customWidth="1"/>
    <col min="12" max="12" width="10.42578125" customWidth="1"/>
    <col min="13" max="13" width="23.85546875" customWidth="1"/>
    <col min="14" max="14" width="19.5703125" customWidth="1"/>
    <col min="15" max="15" width="2.7109375" customWidth="1"/>
    <col min="16" max="16" width="23.7109375" customWidth="1"/>
    <col min="17" max="17" width="10.42578125" customWidth="1"/>
    <col min="18" max="18" width="18" customWidth="1"/>
    <col min="19" max="19" width="19.5703125" customWidth="1"/>
    <col min="20" max="20" width="2.7109375" customWidth="1"/>
    <col min="21" max="21" width="25.28515625" customWidth="1"/>
    <col min="22" max="22" width="17.42578125" customWidth="1"/>
    <col min="23" max="23" width="2.7109375" customWidth="1"/>
  </cols>
  <sheetData>
    <row r="1" spans="1:28">
      <c r="A1" s="310" t="s">
        <v>62</v>
      </c>
      <c r="B1" s="310"/>
      <c r="C1" s="310"/>
      <c r="D1" s="310"/>
      <c r="E1" s="2"/>
      <c r="F1" s="311" t="s">
        <v>63</v>
      </c>
      <c r="G1" s="311"/>
      <c r="H1" s="311"/>
      <c r="I1" s="311"/>
      <c r="J1" s="2"/>
      <c r="K1" s="102" t="s">
        <v>64</v>
      </c>
      <c r="L1" s="102"/>
      <c r="M1" s="102"/>
      <c r="N1" s="102"/>
      <c r="O1" s="2"/>
      <c r="P1" s="253" t="s">
        <v>65</v>
      </c>
      <c r="Q1" s="254"/>
      <c r="R1" s="254"/>
      <c r="S1" s="283"/>
      <c r="T1" s="2"/>
    </row>
    <row r="2" spans="1:28">
      <c r="A2" s="11" t="s">
        <v>66</v>
      </c>
      <c r="B2" s="6">
        <f>Q12</f>
        <v>0</v>
      </c>
      <c r="C2" s="284"/>
      <c r="D2" s="285"/>
      <c r="E2" s="2"/>
      <c r="F2" s="11" t="s">
        <v>66</v>
      </c>
      <c r="G2" s="6">
        <f>Q13</f>
        <v>0</v>
      </c>
      <c r="H2" s="342"/>
      <c r="I2" s="343"/>
      <c r="J2" s="2"/>
      <c r="K2" s="11" t="s">
        <v>66</v>
      </c>
      <c r="L2" s="6">
        <f>Q14</f>
        <v>0</v>
      </c>
      <c r="M2" s="284"/>
      <c r="N2" s="285"/>
      <c r="O2" s="2"/>
      <c r="P2" s="11" t="s">
        <v>66</v>
      </c>
      <c r="Q2" s="6">
        <f>Q17</f>
        <v>0</v>
      </c>
      <c r="R2" s="284"/>
      <c r="S2" s="285"/>
      <c r="T2" s="2"/>
    </row>
    <row r="3" spans="1:28">
      <c r="A3" s="11" t="s">
        <v>67</v>
      </c>
      <c r="B3" s="6">
        <f>'Keräysteho kplh'!B2</f>
        <v>178</v>
      </c>
      <c r="C3" s="286"/>
      <c r="D3" s="287"/>
      <c r="E3" s="2"/>
      <c r="F3" s="11" t="s">
        <v>67</v>
      </c>
      <c r="G3" s="6">
        <f>'Keräysteho kplh'!B3</f>
        <v>73</v>
      </c>
      <c r="H3" s="344"/>
      <c r="I3" s="345"/>
      <c r="J3" s="2"/>
      <c r="K3" s="11" t="s">
        <v>67</v>
      </c>
      <c r="L3" s="6">
        <f>'Keräysteho kplh'!B4</f>
        <v>108</v>
      </c>
      <c r="M3" s="286"/>
      <c r="N3" s="287"/>
      <c r="O3" s="2"/>
      <c r="P3" s="11" t="s">
        <v>67</v>
      </c>
      <c r="Q3" s="6">
        <f>'Keräysteho kplh'!B7</f>
        <v>32</v>
      </c>
      <c r="R3" s="286"/>
      <c r="S3" s="287"/>
      <c r="T3" s="2"/>
    </row>
    <row r="4" spans="1:28">
      <c r="A4" s="11" t="s">
        <v>68</v>
      </c>
      <c r="B4" s="12" t="s">
        <v>69</v>
      </c>
      <c r="C4" s="11" t="s">
        <v>70</v>
      </c>
      <c r="D4" s="11" t="s">
        <v>71</v>
      </c>
      <c r="E4" s="5"/>
      <c r="F4" s="11" t="s">
        <v>68</v>
      </c>
      <c r="G4" s="12" t="s">
        <v>69</v>
      </c>
      <c r="H4" s="11" t="s">
        <v>70</v>
      </c>
      <c r="I4" s="11" t="s">
        <v>71</v>
      </c>
      <c r="J4" s="5"/>
      <c r="K4" s="11" t="s">
        <v>68</v>
      </c>
      <c r="L4" s="12" t="s">
        <v>69</v>
      </c>
      <c r="M4" s="11" t="s">
        <v>70</v>
      </c>
      <c r="N4" s="11" t="s">
        <v>71</v>
      </c>
      <c r="O4" s="2"/>
      <c r="P4" s="11" t="s">
        <v>68</v>
      </c>
      <c r="Q4" s="12" t="s">
        <v>69</v>
      </c>
      <c r="R4" s="11" t="s">
        <v>70</v>
      </c>
      <c r="S4" s="11" t="s">
        <v>71</v>
      </c>
      <c r="T4" s="2"/>
    </row>
    <row r="5" spans="1:28">
      <c r="A5" s="66">
        <f ca="1">TODAY()+TIME(11,0,0)</f>
        <v>46315.458333333336</v>
      </c>
      <c r="B5" s="65">
        <v>0</v>
      </c>
      <c r="C5" s="73">
        <f ca="1">A5-D13</f>
        <v>6.2923148150730412E-2</v>
      </c>
      <c r="D5" s="9">
        <f ca="1">B5*C5</f>
        <v>0</v>
      </c>
      <c r="E5" s="3"/>
      <c r="F5" s="66">
        <f ca="1">TODAY()+TIME(11,0,0)</f>
        <v>46315.458333333336</v>
      </c>
      <c r="G5" s="65">
        <v>0</v>
      </c>
      <c r="H5" s="73">
        <f ca="1">F5-I13</f>
        <v>6.2923148150730412E-2</v>
      </c>
      <c r="I5" s="9">
        <f ca="1">G5*H5</f>
        <v>0</v>
      </c>
      <c r="J5" s="3"/>
      <c r="K5" s="66">
        <f ca="1">TODAY()+TIME(11,0,0)</f>
        <v>46315.458333333336</v>
      </c>
      <c r="L5" s="65">
        <v>0</v>
      </c>
      <c r="M5" s="73">
        <f ca="1">K5-N13</f>
        <v>6.2923148150730412E-2</v>
      </c>
      <c r="N5" s="9">
        <f ca="1">L5*M5</f>
        <v>0</v>
      </c>
      <c r="O5" s="2"/>
      <c r="P5" s="134" t="str">
        <f ca="1">S17</f>
        <v/>
      </c>
      <c r="Q5" s="65">
        <v>0</v>
      </c>
      <c r="R5" s="135" t="e">
        <f ca="1">P5-L25</f>
        <v>#VALUE!</v>
      </c>
      <c r="S5" s="126" t="e">
        <f ca="1">R5*Q5</f>
        <v>#VALUE!</v>
      </c>
      <c r="T5" s="2"/>
    </row>
    <row r="6" spans="1:28">
      <c r="A6" s="66">
        <f ca="1">TODAY()+TIME(12,0,0)</f>
        <v>46315.5</v>
      </c>
      <c r="B6" s="65">
        <v>0</v>
      </c>
      <c r="C6" s="73">
        <f ca="1">A6-D13</f>
        <v>0.10458981481497176</v>
      </c>
      <c r="D6" s="9">
        <f ca="1">B6*C6</f>
        <v>0</v>
      </c>
      <c r="E6" s="3"/>
      <c r="F6" s="66">
        <f ca="1">TODAY()+TIME(12,0,0)</f>
        <v>46315.5</v>
      </c>
      <c r="G6" s="65">
        <v>0</v>
      </c>
      <c r="H6" s="73">
        <f ca="1">F6-I13</f>
        <v>0.10458981481497176</v>
      </c>
      <c r="I6" s="9">
        <f ca="1">G6*H6</f>
        <v>0</v>
      </c>
      <c r="J6" s="3"/>
      <c r="K6" s="66">
        <f ca="1">TODAY()+TIME(12,0,0)</f>
        <v>46315.5</v>
      </c>
      <c r="L6" s="65">
        <v>0</v>
      </c>
      <c r="M6" s="73">
        <f ca="1">K6-N13</f>
        <v>0.10458981481497176</v>
      </c>
      <c r="N6" s="9">
        <f ca="1">L6*M6</f>
        <v>0</v>
      </c>
      <c r="O6" s="133"/>
      <c r="P6" s="11" t="s">
        <v>72</v>
      </c>
      <c r="Q6" s="9" t="e">
        <f ca="1">S5</f>
        <v>#VALUE!</v>
      </c>
      <c r="R6" s="11" t="s">
        <v>73</v>
      </c>
      <c r="S6" s="6">
        <f>Q5</f>
        <v>0</v>
      </c>
      <c r="T6" s="41"/>
    </row>
    <row r="7" spans="1:28">
      <c r="A7" s="66">
        <f ca="1">TODAY()+TIME(13,0,0)</f>
        <v>46315.541666666664</v>
      </c>
      <c r="B7" s="65">
        <v>0</v>
      </c>
      <c r="C7" s="73">
        <f ca="1">A7-D13</f>
        <v>0.14625648147921311</v>
      </c>
      <c r="D7" s="9">
        <f ca="1">B7*C7</f>
        <v>0</v>
      </c>
      <c r="E7" s="3"/>
      <c r="F7" s="66">
        <f ca="1">TODAY()+TIME(13,0,0)</f>
        <v>46315.541666666664</v>
      </c>
      <c r="G7" s="65">
        <v>0</v>
      </c>
      <c r="H7" s="73">
        <f ca="1">F7-I13</f>
        <v>0.14625648147921311</v>
      </c>
      <c r="I7" s="9">
        <f ca="1">G7*H7</f>
        <v>0</v>
      </c>
      <c r="J7" s="3"/>
      <c r="K7" s="66">
        <f ca="1">TODAY()+TIME(13,0,0)</f>
        <v>46315.541666666664</v>
      </c>
      <c r="L7" s="65">
        <v>0</v>
      </c>
      <c r="M7" s="73">
        <f ca="1">K7-N13</f>
        <v>0.14625648147921311</v>
      </c>
      <c r="N7" s="9">
        <f ca="1">L7*M7</f>
        <v>0</v>
      </c>
      <c r="O7" s="133"/>
      <c r="P7" s="11" t="s">
        <v>74</v>
      </c>
      <c r="Q7" s="10" t="e">
        <f>Q2/(Q5)</f>
        <v>#DIV/0!</v>
      </c>
      <c r="R7" s="284"/>
      <c r="S7" s="285"/>
      <c r="T7" s="41"/>
    </row>
    <row r="8" spans="1:28">
      <c r="A8" s="66">
        <f ca="1">TODAY()+TIME(14,0,0)</f>
        <v>46315.583333333336</v>
      </c>
      <c r="B8" s="65">
        <v>0</v>
      </c>
      <c r="C8" s="73">
        <f ca="1">A8-D13</f>
        <v>0.18792314815073041</v>
      </c>
      <c r="D8" s="9">
        <f ca="1">B8*C8</f>
        <v>0</v>
      </c>
      <c r="E8" s="3"/>
      <c r="F8" s="66">
        <f ca="1">TODAY()+TIME(14,0,0)</f>
        <v>46315.583333333336</v>
      </c>
      <c r="G8" s="65">
        <v>0</v>
      </c>
      <c r="H8" s="73">
        <f ca="1">F8-I13</f>
        <v>0.18792314815073041</v>
      </c>
      <c r="I8" s="9">
        <f ca="1">G8*H8</f>
        <v>0</v>
      </c>
      <c r="J8" s="3"/>
      <c r="K8" s="66">
        <f ca="1">TODAY()+TIME(14,0,0)</f>
        <v>46315.583333333336</v>
      </c>
      <c r="L8" s="65">
        <v>0</v>
      </c>
      <c r="M8" s="73">
        <f ca="1">K8-N13</f>
        <v>0.18792314815073041</v>
      </c>
      <c r="N8" s="9">
        <f ca="1">L8*M8</f>
        <v>0</v>
      </c>
      <c r="O8" s="133"/>
      <c r="P8" s="11" t="s">
        <v>75</v>
      </c>
      <c r="Q8" s="9" t="e">
        <f>Q2/(Q3*(Q5))/24</f>
        <v>#DIV/0!</v>
      </c>
      <c r="R8" s="308"/>
      <c r="S8" s="309"/>
      <c r="T8" s="41"/>
    </row>
    <row r="9" spans="1:28">
      <c r="A9" s="66">
        <f ca="1">TODAY()+TIME(15,0,0)</f>
        <v>46315.625</v>
      </c>
      <c r="B9" s="65">
        <v>0</v>
      </c>
      <c r="C9" s="73">
        <f ca="1">A9-D13</f>
        <v>0.22958981481497176</v>
      </c>
      <c r="D9" s="9">
        <f ca="1">B9*C9</f>
        <v>0</v>
      </c>
      <c r="E9" s="2"/>
      <c r="F9" s="66">
        <f ca="1">TODAY()+TIME(15,0,0)</f>
        <v>46315.625</v>
      </c>
      <c r="G9" s="65">
        <v>0</v>
      </c>
      <c r="H9" s="73">
        <f ca="1">F9-I13</f>
        <v>0.22958981481497176</v>
      </c>
      <c r="I9" s="9">
        <f ca="1">G9*H9</f>
        <v>0</v>
      </c>
      <c r="J9" s="2"/>
      <c r="K9" s="66">
        <f ca="1">TODAY()+TIME(15,0,0)</f>
        <v>46315.625</v>
      </c>
      <c r="L9" s="65">
        <v>0</v>
      </c>
      <c r="M9" s="73">
        <f ca="1">K9-N13</f>
        <v>0.22958981481497176</v>
      </c>
      <c r="N9" s="9">
        <f ca="1">L9*M9</f>
        <v>0</v>
      </c>
      <c r="O9" s="133"/>
      <c r="P9" s="11" t="s">
        <v>76</v>
      </c>
      <c r="Q9" s="8" t="str">
        <f ca="1">IFERROR(L25+Q8+IF(Q2&gt;=400,TIME(0,24,0),0),"")</f>
        <v/>
      </c>
      <c r="R9" s="286"/>
      <c r="S9" s="287"/>
      <c r="T9" s="41"/>
    </row>
    <row r="10" spans="1:28">
      <c r="A10" s="11" t="s">
        <v>72</v>
      </c>
      <c r="B10" s="9">
        <f ca="1">D5+D6+D7+D8+D9</f>
        <v>0</v>
      </c>
      <c r="C10" s="11" t="s">
        <v>73</v>
      </c>
      <c r="D10" s="6">
        <f>B9+B8+B7+B6+B5</f>
        <v>0</v>
      </c>
      <c r="E10" s="2"/>
      <c r="F10" s="11" t="s">
        <v>72</v>
      </c>
      <c r="G10" s="9">
        <f ca="1">I5+I6+I7+I8+I9</f>
        <v>0</v>
      </c>
      <c r="H10" s="11" t="s">
        <v>73</v>
      </c>
      <c r="I10" s="6">
        <f>G9+G8+G7+G6+G5</f>
        <v>0</v>
      </c>
      <c r="J10" s="2"/>
      <c r="K10" s="11" t="s">
        <v>72</v>
      </c>
      <c r="L10" s="9">
        <f ca="1">N9+N8+N7+N6+N5</f>
        <v>0</v>
      </c>
      <c r="M10" s="11" t="s">
        <v>73</v>
      </c>
      <c r="N10" s="232">
        <f>L9+L8+L7+L6+L5</f>
        <v>0</v>
      </c>
      <c r="O10" s="2"/>
      <c r="P10" s="264"/>
      <c r="Q10" s="265"/>
      <c r="R10" s="265"/>
      <c r="S10" s="270"/>
      <c r="T10" s="2"/>
    </row>
    <row r="11" spans="1:28">
      <c r="A11" s="11" t="s">
        <v>74</v>
      </c>
      <c r="B11" s="10" t="e">
        <f>B2/(B6+B7+B8+B9)</f>
        <v>#DIV/0!</v>
      </c>
      <c r="C11" s="136"/>
      <c r="D11" s="138"/>
      <c r="E11" s="2"/>
      <c r="F11" s="11" t="s">
        <v>74</v>
      </c>
      <c r="G11" s="10" t="e">
        <f>G2/(G6+G7+G8+G9)</f>
        <v>#DIV/0!</v>
      </c>
      <c r="H11" s="136"/>
      <c r="I11" s="138"/>
      <c r="J11" s="2"/>
      <c r="K11" s="11" t="s">
        <v>74</v>
      </c>
      <c r="L11" s="230" t="e">
        <f>L2/(L6+L7+L8+L9)</f>
        <v>#DIV/0!</v>
      </c>
      <c r="M11" s="235"/>
      <c r="N11" s="236"/>
      <c r="O11" s="41"/>
      <c r="P11" s="323" t="s">
        <v>77</v>
      </c>
      <c r="Q11" s="324"/>
      <c r="R11" s="272" t="s">
        <v>78</v>
      </c>
      <c r="S11" s="273"/>
      <c r="T11" s="2"/>
    </row>
    <row r="12" spans="1:28">
      <c r="A12" s="11" t="s">
        <v>75</v>
      </c>
      <c r="B12" s="9" t="e">
        <f>B2/(B3*(B6+B7+B8+B9+B5))/24</f>
        <v>#DIV/0!</v>
      </c>
      <c r="C12" s="137"/>
      <c r="D12" s="139"/>
      <c r="E12" s="2"/>
      <c r="F12" s="11" t="s">
        <v>75</v>
      </c>
      <c r="G12" s="9" t="e">
        <f>G2/(G3*(G6+G7+G8+G9+G5))/24</f>
        <v>#DIV/0!</v>
      </c>
      <c r="H12" s="137"/>
      <c r="I12" s="139"/>
      <c r="J12" s="2"/>
      <c r="K12" s="11" t="s">
        <v>75</v>
      </c>
      <c r="L12" s="231" t="e">
        <f>L2/(L3*(L6+L7+L8+L9+L5))/24</f>
        <v>#DIV/0!</v>
      </c>
      <c r="M12" s="237"/>
      <c r="N12" s="238"/>
      <c r="O12" s="41"/>
      <c r="P12" s="67" t="s">
        <v>62</v>
      </c>
      <c r="Q12" s="65">
        <v>0</v>
      </c>
      <c r="R12" s="67" t="s">
        <v>62</v>
      </c>
      <c r="S12" s="20" t="str">
        <f ca="1">B13</f>
        <v/>
      </c>
      <c r="T12" s="2"/>
      <c r="U12" s="186"/>
    </row>
    <row r="13" spans="1:28">
      <c r="A13" s="11" t="s">
        <v>76</v>
      </c>
      <c r="B13" s="8" t="str">
        <f ca="1">IFERROR(D13+B12+IF(B2&gt;=3000,TIME(0,24,0),0),"")</f>
        <v/>
      </c>
      <c r="C13" s="11" t="s">
        <v>79</v>
      </c>
      <c r="D13" s="8">
        <f ca="1">NOW()</f>
        <v>46315.395410185185</v>
      </c>
      <c r="E13" s="2"/>
      <c r="F13" s="11" t="s">
        <v>76</v>
      </c>
      <c r="G13" s="8" t="str">
        <f ca="1">IFERROR(I13+G12+IF(G2&gt;=1500,TIME(0,24,0),0),"")</f>
        <v/>
      </c>
      <c r="H13" s="11" t="s">
        <v>79</v>
      </c>
      <c r="I13" s="8">
        <f ca="1">NOW()</f>
        <v>46315.395410185185</v>
      </c>
      <c r="J13" s="2"/>
      <c r="K13" s="11" t="s">
        <v>76</v>
      </c>
      <c r="L13" s="8" t="str">
        <f ca="1">IFERROR(N13+L12+IF(L2&gt;=400,TIME(0,24,0),0),"")</f>
        <v/>
      </c>
      <c r="M13" s="11" t="s">
        <v>79</v>
      </c>
      <c r="N13" s="234">
        <f ca="1">NOW()</f>
        <v>46315.395410185185</v>
      </c>
      <c r="O13" s="2"/>
      <c r="P13" s="68" t="s">
        <v>63</v>
      </c>
      <c r="Q13" s="65">
        <v>0</v>
      </c>
      <c r="R13" s="68" t="s">
        <v>63</v>
      </c>
      <c r="S13" s="20" t="str">
        <f ca="1">G13</f>
        <v/>
      </c>
      <c r="T13" s="2"/>
    </row>
    <row r="14" spans="1:28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9"/>
      <c r="O14" s="2"/>
      <c r="P14" s="69" t="s">
        <v>64</v>
      </c>
      <c r="Q14" s="65">
        <v>0</v>
      </c>
      <c r="R14" s="69" t="s">
        <v>64</v>
      </c>
      <c r="S14" s="20" t="str">
        <f ca="1">L13</f>
        <v/>
      </c>
      <c r="T14" s="2"/>
    </row>
    <row r="15" spans="1:28">
      <c r="A15" s="150" t="s">
        <v>80</v>
      </c>
      <c r="B15" s="151"/>
      <c r="C15" s="151"/>
      <c r="D15" s="152"/>
      <c r="E15" s="2"/>
      <c r="F15" s="153" t="s">
        <v>81</v>
      </c>
      <c r="G15" s="154"/>
      <c r="H15" s="154"/>
      <c r="I15" s="155"/>
      <c r="J15" s="2"/>
      <c r="K15" s="86" t="s">
        <v>82</v>
      </c>
      <c r="L15" s="87" t="e">
        <f ca="1">N29-N28-(L17/24)</f>
        <v>#DIV/0!</v>
      </c>
      <c r="M15" s="86" t="s">
        <v>83</v>
      </c>
      <c r="N15" s="88" t="e">
        <f ca="1">N16+(L16*L17)</f>
        <v>#DIV/0!</v>
      </c>
      <c r="O15" s="2"/>
      <c r="P15" s="70" t="s">
        <v>80</v>
      </c>
      <c r="Q15" s="65">
        <v>0</v>
      </c>
      <c r="R15" s="70" t="s">
        <v>80</v>
      </c>
      <c r="S15" s="20" t="str">
        <f ca="1">B27</f>
        <v/>
      </c>
      <c r="T15" s="2"/>
      <c r="AB15">
        <f ca="1">IFERROR(((N17-N16)/L16)/24,0)+IF(AA26&lt;0,-AA26,0)</f>
        <v>0</v>
      </c>
    </row>
    <row r="16" spans="1:28">
      <c r="A16" s="11" t="s">
        <v>66</v>
      </c>
      <c r="B16" s="6">
        <f>Q15</f>
        <v>0</v>
      </c>
      <c r="C16" s="136"/>
      <c r="D16" s="138"/>
      <c r="E16" s="2"/>
      <c r="F16" s="11" t="s">
        <v>66</v>
      </c>
      <c r="G16" s="6">
        <f>Q16</f>
        <v>0</v>
      </c>
      <c r="H16" s="136"/>
      <c r="I16" s="138"/>
      <c r="J16" s="2"/>
      <c r="K16" s="12" t="s">
        <v>84</v>
      </c>
      <c r="L16" s="90" t="e">
        <f ca="1">(B3*B10+G3*G10+L3*L10+B17*B24+G17*G24)/
(B10+G10+L10+B24+G24)</f>
        <v>#DIV/0!</v>
      </c>
      <c r="M16" s="86" t="s">
        <v>85</v>
      </c>
      <c r="N16" s="89" t="e">
        <f ca="1">L16*N28*24</f>
        <v>#DIV/0!</v>
      </c>
      <c r="O16" s="2"/>
      <c r="P16" s="71" t="s">
        <v>81</v>
      </c>
      <c r="Q16" s="65">
        <v>0</v>
      </c>
      <c r="R16" s="71" t="s">
        <v>81</v>
      </c>
      <c r="S16" s="20" t="str">
        <f ca="1">G27</f>
        <v/>
      </c>
      <c r="T16" s="2"/>
    </row>
    <row r="17" spans="1:27">
      <c r="A17" s="11" t="s">
        <v>67</v>
      </c>
      <c r="B17" s="6">
        <f>'Keräysteho kplh'!B5</f>
        <v>449</v>
      </c>
      <c r="C17" s="137"/>
      <c r="D17" s="139"/>
      <c r="E17" s="2"/>
      <c r="F17" s="11" t="s">
        <v>67</v>
      </c>
      <c r="G17" s="6">
        <f>'Keräysteho kplh'!B6</f>
        <v>401</v>
      </c>
      <c r="H17" s="137"/>
      <c r="I17" s="139"/>
      <c r="J17" s="2"/>
      <c r="K17" s="175" t="s">
        <v>86</v>
      </c>
      <c r="L17" s="222"/>
      <c r="M17" s="12" t="s">
        <v>87</v>
      </c>
      <c r="N17" s="13">
        <f>B2+G2+L2+B16+G16</f>
        <v>0</v>
      </c>
      <c r="O17" s="2"/>
      <c r="P17" s="72" t="s">
        <v>65</v>
      </c>
      <c r="Q17" s="65">
        <v>0</v>
      </c>
      <c r="R17" s="72" t="s">
        <v>65</v>
      </c>
      <c r="S17" s="8" t="str">
        <f ca="1">Q9</f>
        <v/>
      </c>
      <c r="T17" s="19"/>
    </row>
    <row r="18" spans="1:27">
      <c r="A18" s="11" t="s">
        <v>68</v>
      </c>
      <c r="B18" s="12" t="s">
        <v>69</v>
      </c>
      <c r="C18" s="11" t="s">
        <v>70</v>
      </c>
      <c r="D18" s="11" t="s">
        <v>71</v>
      </c>
      <c r="E18" s="5"/>
      <c r="F18" s="11" t="s">
        <v>68</v>
      </c>
      <c r="G18" s="12" t="s">
        <v>69</v>
      </c>
      <c r="H18" s="11" t="s">
        <v>70</v>
      </c>
      <c r="I18" s="11" t="s">
        <v>71</v>
      </c>
      <c r="J18" s="2"/>
      <c r="K18" s="209" t="s">
        <v>88</v>
      </c>
      <c r="L18" s="210">
        <f>L26*24/1440</f>
        <v>0</v>
      </c>
      <c r="M18" s="211" t="s">
        <v>89</v>
      </c>
      <c r="N18" s="211">
        <f>B2+G2+L2+Q2+B16+G16</f>
        <v>0</v>
      </c>
      <c r="O18" s="2"/>
      <c r="P18" s="190" t="s">
        <v>90</v>
      </c>
      <c r="Q18" s="82">
        <f>Q12+Q13+Q14+Q15+Q16+Q17</f>
        <v>0</v>
      </c>
      <c r="R18" s="190" t="s">
        <v>90</v>
      </c>
      <c r="S18" s="8">
        <f ca="1">L28</f>
        <v>0</v>
      </c>
      <c r="T18" s="19"/>
      <c r="U18" s="115"/>
      <c r="V18" s="116"/>
    </row>
    <row r="19" spans="1:27">
      <c r="A19" s="66">
        <f ca="1">TODAY()+TIME(11,0,0)</f>
        <v>46315.458333333336</v>
      </c>
      <c r="B19" s="65">
        <v>0</v>
      </c>
      <c r="C19" s="73">
        <f ca="1">A19-D27</f>
        <v>6.2923148150730412E-2</v>
      </c>
      <c r="D19" s="9">
        <f ca="1">B19*C19</f>
        <v>0</v>
      </c>
      <c r="E19" s="2"/>
      <c r="F19" s="66">
        <f ca="1">TODAY()+TIME(11,0,0)</f>
        <v>46315.458333333336</v>
      </c>
      <c r="G19" s="65">
        <v>0</v>
      </c>
      <c r="H19" s="73">
        <f ca="1">F19-I27</f>
        <v>6.2923148150730412E-2</v>
      </c>
      <c r="I19" s="9">
        <f ca="1">G19*H19</f>
        <v>0</v>
      </c>
      <c r="J19" s="174"/>
      <c r="K19" s="206" t="s">
        <v>68</v>
      </c>
      <c r="L19" s="206" t="s">
        <v>91</v>
      </c>
      <c r="M19" s="207" t="s">
        <v>92</v>
      </c>
      <c r="N19" s="208" t="e">
        <f ca="1">(B3*B10+G3*G10+L3*L10+Q3*Q6+B17*B24+G17*G24)/
(B10+G10+L10+Q6+B24+G24)</f>
        <v>#VALUE!</v>
      </c>
      <c r="O19" s="2"/>
      <c r="P19" s="201" t="s">
        <v>58</v>
      </c>
      <c r="Q19" s="202"/>
      <c r="R19" s="202" t="s">
        <v>50</v>
      </c>
      <c r="S19" s="202"/>
      <c r="T19" s="19"/>
      <c r="U19" s="115"/>
      <c r="V19" s="117"/>
      <c r="X19" s="114"/>
    </row>
    <row r="20" spans="1:27">
      <c r="A20" s="66">
        <f ca="1">TODAY()+TIME(12,0,0)</f>
        <v>46315.5</v>
      </c>
      <c r="B20" s="65">
        <v>0</v>
      </c>
      <c r="C20" s="73">
        <f ca="1">A20-D27</f>
        <v>0.10458981481497176</v>
      </c>
      <c r="D20" s="9">
        <f ca="1">B20*C20</f>
        <v>0</v>
      </c>
      <c r="E20" s="2"/>
      <c r="F20" s="66">
        <f ca="1">TODAY()+TIME(12,0,0)</f>
        <v>46315.5</v>
      </c>
      <c r="G20" s="65">
        <v>0</v>
      </c>
      <c r="H20" s="73">
        <f ca="1">F20-I27</f>
        <v>0.10458981481497176</v>
      </c>
      <c r="I20" s="9">
        <f ca="1">G20*H20</f>
        <v>0</v>
      </c>
      <c r="J20" s="2"/>
      <c r="K20" s="212">
        <f ca="1">TODAY()+TIME(11,0,0)</f>
        <v>46315.458333333336</v>
      </c>
      <c r="L20" s="213">
        <f>G19+B19+B5+G5+L5</f>
        <v>0</v>
      </c>
      <c r="M20" s="214">
        <f ca="1">K20-L25</f>
        <v>6.2923148150730412E-2</v>
      </c>
      <c r="N20" s="215">
        <f ca="1">L20*M20</f>
        <v>0</v>
      </c>
      <c r="O20" s="19"/>
      <c r="P20" s="260" t="s">
        <v>93</v>
      </c>
      <c r="Q20" s="261"/>
      <c r="R20" s="260" t="s">
        <v>94</v>
      </c>
      <c r="S20" s="261"/>
      <c r="T20" s="200"/>
      <c r="U20" s="115"/>
      <c r="V20" s="117"/>
      <c r="X20" s="114"/>
    </row>
    <row r="21" spans="1:27">
      <c r="A21" s="66">
        <f ca="1">TODAY()+TIME(13,0,0)</f>
        <v>46315.541666666664</v>
      </c>
      <c r="B21" s="65">
        <v>0</v>
      </c>
      <c r="C21" s="73">
        <f ca="1">A21-D27</f>
        <v>0.14625648147921311</v>
      </c>
      <c r="D21" s="9">
        <f ca="1">B21*C21</f>
        <v>0</v>
      </c>
      <c r="E21" s="2"/>
      <c r="F21" s="66">
        <f ca="1">TODAY()+TIME(13,0,0)</f>
        <v>46315.541666666664</v>
      </c>
      <c r="G21" s="65">
        <v>0</v>
      </c>
      <c r="H21" s="73">
        <f ca="1">F21-I27</f>
        <v>0.14625648147921311</v>
      </c>
      <c r="I21" s="9">
        <f ca="1">G21*H21</f>
        <v>0</v>
      </c>
      <c r="J21" s="2"/>
      <c r="K21" s="14">
        <f ca="1">TODAY()+TIME(12,0,0)</f>
        <v>46315.5</v>
      </c>
      <c r="L21" s="13">
        <f>G20+B20+B6+G6+L6</f>
        <v>0</v>
      </c>
      <c r="M21" s="15">
        <f ca="1">K21-L25</f>
        <v>0.10458981481497176</v>
      </c>
      <c r="N21" s="54">
        <f ca="1">L21*M21</f>
        <v>0</v>
      </c>
      <c r="O21" s="19"/>
      <c r="P21" s="191" t="s">
        <v>95</v>
      </c>
      <c r="Q21" s="65">
        <v>0</v>
      </c>
      <c r="R21" s="192" t="s">
        <v>96</v>
      </c>
      <c r="S21" s="187">
        <f>Q21/25</f>
        <v>0</v>
      </c>
      <c r="T21" s="200"/>
      <c r="U21" s="115"/>
      <c r="V21" s="117"/>
      <c r="X21" s="114"/>
    </row>
    <row r="22" spans="1:27">
      <c r="A22" s="66">
        <f ca="1">TODAY()+TIME(14,0,0)</f>
        <v>46315.583333333336</v>
      </c>
      <c r="B22" s="65">
        <v>0</v>
      </c>
      <c r="C22" s="73">
        <f ca="1">A22-D27</f>
        <v>0.18792314815073041</v>
      </c>
      <c r="D22" s="9">
        <f ca="1">B22*C22</f>
        <v>0</v>
      </c>
      <c r="E22" s="2"/>
      <c r="F22" s="66">
        <f ca="1">TODAY()+TIME(14,0,0)</f>
        <v>46315.583333333336</v>
      </c>
      <c r="G22" s="65">
        <v>0</v>
      </c>
      <c r="H22" s="73">
        <f ca="1">F22-I27</f>
        <v>0.18792314815073041</v>
      </c>
      <c r="I22" s="9">
        <f ca="1">G22*H22</f>
        <v>0</v>
      </c>
      <c r="J22" s="2"/>
      <c r="K22" s="14">
        <f ca="1">TODAY()+TIME(13,0,0)</f>
        <v>46315.541666666664</v>
      </c>
      <c r="L22" s="13">
        <f>G21+B21+B7+G7+L7</f>
        <v>0</v>
      </c>
      <c r="M22" s="15">
        <f ca="1">K22-L25</f>
        <v>0.14625648147921311</v>
      </c>
      <c r="N22" s="54">
        <f ca="1">L22*M22</f>
        <v>0</v>
      </c>
      <c r="O22" s="19"/>
      <c r="P22" s="67" t="s">
        <v>62</v>
      </c>
      <c r="Q22" s="65">
        <v>0</v>
      </c>
      <c r="R22" s="239" t="s">
        <v>96</v>
      </c>
      <c r="S22" s="194">
        <f>B32</f>
        <v>0</v>
      </c>
      <c r="T22" s="200">
        <v>47</v>
      </c>
      <c r="U22" s="115"/>
      <c r="V22" s="117"/>
    </row>
    <row r="23" spans="1:27">
      <c r="A23" s="66">
        <f ca="1">TODAY()+TIME(15,0,0)</f>
        <v>46315.625</v>
      </c>
      <c r="B23" s="65">
        <v>0</v>
      </c>
      <c r="C23" s="73">
        <f ca="1">A23-D27</f>
        <v>0.22958981481497176</v>
      </c>
      <c r="D23" s="9">
        <f ca="1">B23*C23</f>
        <v>0</v>
      </c>
      <c r="E23" s="2"/>
      <c r="F23" s="66">
        <f ca="1">TODAY()+TIME(15,0,0)</f>
        <v>46315.625</v>
      </c>
      <c r="G23" s="65">
        <v>0</v>
      </c>
      <c r="H23" s="92">
        <f ca="1">F23-I27</f>
        <v>0.22958981481497176</v>
      </c>
      <c r="I23" s="9">
        <f ca="1">G23*H23</f>
        <v>0</v>
      </c>
      <c r="J23" s="2"/>
      <c r="K23" s="50">
        <f ca="1">TODAY()+TIME(14,0,0)</f>
        <v>46315.583333333336</v>
      </c>
      <c r="L23" s="211">
        <f>G22+B22+B8+G8+L8</f>
        <v>0</v>
      </c>
      <c r="M23" s="127">
        <f ca="1">K23-L25</f>
        <v>0.18792314815073041</v>
      </c>
      <c r="N23" s="128">
        <f ca="1">L23*M23</f>
        <v>0</v>
      </c>
      <c r="O23" s="19"/>
      <c r="P23" s="68" t="s">
        <v>63</v>
      </c>
      <c r="Q23" s="65">
        <v>0</v>
      </c>
      <c r="R23" s="240" t="s">
        <v>96</v>
      </c>
      <c r="S23" s="194">
        <f>G32</f>
        <v>0</v>
      </c>
      <c r="T23" s="200"/>
      <c r="U23" s="115"/>
      <c r="V23" s="117"/>
      <c r="X23" s="114"/>
    </row>
    <row r="24" spans="1:27">
      <c r="A24" s="11" t="s">
        <v>72</v>
      </c>
      <c r="B24" s="9">
        <f ca="1">D23+D22+D21+D20+D19</f>
        <v>0</v>
      </c>
      <c r="C24" s="11" t="s">
        <v>73</v>
      </c>
      <c r="D24" s="6">
        <f>B23+B22+B21+B20+B19</f>
        <v>0</v>
      </c>
      <c r="E24" s="2"/>
      <c r="F24" s="11" t="s">
        <v>72</v>
      </c>
      <c r="G24" s="9">
        <f ca="1">I23+I22+I21+I20+I19</f>
        <v>0</v>
      </c>
      <c r="H24" s="11" t="s">
        <v>73</v>
      </c>
      <c r="I24" s="6">
        <f>G23+G22+G21+G20+G19</f>
        <v>0</v>
      </c>
      <c r="J24" s="2"/>
      <c r="K24" s="216">
        <f ca="1">TODAY()+TIME(15,0,0)</f>
        <v>46315.625</v>
      </c>
      <c r="L24" s="217">
        <f>G23+B23+B9+G9+L9</f>
        <v>0</v>
      </c>
      <c r="M24" s="218">
        <f ca="1">K24-L25</f>
        <v>0.22958981481497176</v>
      </c>
      <c r="N24" s="219">
        <f ca="1">L24*M24</f>
        <v>0</v>
      </c>
      <c r="O24" s="19"/>
      <c r="P24" s="69" t="s">
        <v>64</v>
      </c>
      <c r="Q24" s="65">
        <v>0</v>
      </c>
      <c r="R24" s="196" t="s">
        <v>97</v>
      </c>
      <c r="S24" s="194" t="s">
        <v>36</v>
      </c>
      <c r="T24" s="200"/>
      <c r="U24" s="115"/>
      <c r="V24" s="118"/>
      <c r="X24" s="114"/>
    </row>
    <row r="25" spans="1:27">
      <c r="A25" s="11" t="s">
        <v>74</v>
      </c>
      <c r="B25" s="10" t="e">
        <f>B16/(B20+B21+B22+B23)</f>
        <v>#DIV/0!</v>
      </c>
      <c r="C25" s="136"/>
      <c r="D25" s="138"/>
      <c r="E25" s="2"/>
      <c r="F25" s="11" t="s">
        <v>74</v>
      </c>
      <c r="G25" s="10" t="e">
        <f>G16/(G20+G21+G22+G23)</f>
        <v>#DIV/0!</v>
      </c>
      <c r="H25" s="136"/>
      <c r="I25" s="138"/>
      <c r="J25" s="2"/>
      <c r="K25" s="11" t="s">
        <v>79</v>
      </c>
      <c r="L25" s="212">
        <f ca="1">NOW()</f>
        <v>46315.395410185185</v>
      </c>
      <c r="M25" s="220" t="s">
        <v>98</v>
      </c>
      <c r="N25" s="221" t="str">
        <f ca="1">IF(AA25&lt;0,"-","")&amp;INT(ROUND(ABS(AA25)*1440,0)/60)&amp;":"&amp;TEXT(MOD(ROUND(ABS(AA25)*1440,0),60),"00")</f>
        <v>0:00</v>
      </c>
      <c r="O25" s="200"/>
      <c r="P25" s="70" t="s">
        <v>80</v>
      </c>
      <c r="Q25" s="65">
        <v>0</v>
      </c>
      <c r="R25" s="197" t="s">
        <v>99</v>
      </c>
      <c r="S25" s="194">
        <f>B38</f>
        <v>0</v>
      </c>
      <c r="T25" s="200"/>
      <c r="U25" s="119"/>
      <c r="V25" s="118"/>
      <c r="AA25">
        <f ca="1">N28-IFERROR((B2/B3+G2/G3+L2/L3+B16/B17+G16/G17)/24,0)+L17/24</f>
        <v>0</v>
      </c>
    </row>
    <row r="26" spans="1:27">
      <c r="A26" s="11" t="s">
        <v>75</v>
      </c>
      <c r="B26" s="9" t="e">
        <f>B16/(B17*(B20+B21+B22+B23+B19))/24</f>
        <v>#DIV/0!</v>
      </c>
      <c r="C26" s="137"/>
      <c r="D26" s="139"/>
      <c r="E26" s="2"/>
      <c r="F26" s="11" t="s">
        <v>75</v>
      </c>
      <c r="G26" s="9" t="e">
        <f>G16/(G17*(G20+G21+G22+G23+G19))/24</f>
        <v>#DIV/0!</v>
      </c>
      <c r="H26" s="137"/>
      <c r="I26" s="139"/>
      <c r="J26" s="2"/>
      <c r="K26" s="12" t="s">
        <v>73</v>
      </c>
      <c r="L26" s="205">
        <f>L24+L23+L22+L21+L20</f>
        <v>0</v>
      </c>
      <c r="M26" s="204" t="s">
        <v>100</v>
      </c>
      <c r="N26" s="228" t="str">
        <f ca="1">IF(AA26&lt;0,"-","")&amp;INT(ROUND(ABS(AA26)*1440,0)/60)&amp;":"&amp;TEXT(MOD(ROUND(ABS(AA26)*1440,0),60),"00")</f>
        <v>0:00</v>
      </c>
      <c r="O26" s="200"/>
      <c r="P26" s="71" t="s">
        <v>81</v>
      </c>
      <c r="Q26" s="65">
        <v>0</v>
      </c>
      <c r="R26" s="198" t="s">
        <v>99</v>
      </c>
      <c r="S26" s="194">
        <f>D38</f>
        <v>0</v>
      </c>
      <c r="T26" s="200"/>
      <c r="AA26">
        <f ca="1">AA25-L18</f>
        <v>0</v>
      </c>
    </row>
    <row r="27" spans="1:27">
      <c r="A27" s="11" t="s">
        <v>76</v>
      </c>
      <c r="B27" s="48" t="str">
        <f ca="1">IFERROR(D27+B26+IF(B16&gt;=5000,TIME(0,24,0),0),"")</f>
        <v/>
      </c>
      <c r="C27" s="11" t="s">
        <v>79</v>
      </c>
      <c r="D27" s="8">
        <f ca="1">NOW()</f>
        <v>46315.395410185185</v>
      </c>
      <c r="E27" s="43"/>
      <c r="F27" s="11" t="s">
        <v>76</v>
      </c>
      <c r="G27" s="48" t="str">
        <f ca="1">IFERROR(I27+G26+IF(G16&gt;=5000,TIME(0,24,0),0),"")</f>
        <v/>
      </c>
      <c r="H27" s="11" t="s">
        <v>79</v>
      </c>
      <c r="I27" s="8">
        <f ca="1">NOW()</f>
        <v>46315.395410185185</v>
      </c>
      <c r="J27" s="2"/>
      <c r="K27" s="12" t="s">
        <v>74</v>
      </c>
      <c r="L27" s="16" t="e">
        <f>N17/(L21+L22+L23+L24)</f>
        <v>#DIV/0!</v>
      </c>
      <c r="M27" s="204" t="s">
        <v>101</v>
      </c>
      <c r="N27" s="227">
        <f ca="1">ABS(AA26+AA25)/2</f>
        <v>0</v>
      </c>
      <c r="O27" s="200"/>
      <c r="P27" s="72" t="s">
        <v>65</v>
      </c>
      <c r="Q27" s="65">
        <v>0</v>
      </c>
      <c r="R27" s="199" t="s">
        <v>99</v>
      </c>
      <c r="S27" s="194">
        <f>L39</f>
        <v>0</v>
      </c>
      <c r="T27" s="41"/>
    </row>
    <row r="28" spans="1:27">
      <c r="A28" s="1"/>
      <c r="B28" s="1"/>
      <c r="C28" s="1"/>
      <c r="D28" s="1"/>
      <c r="F28" s="1"/>
      <c r="G28" s="1"/>
      <c r="H28" s="1"/>
      <c r="I28" s="1"/>
      <c r="J28" s="2"/>
      <c r="K28" s="49" t="s">
        <v>102</v>
      </c>
      <c r="L28" s="50">
        <f ca="1">MAX(IFERROR(B27*1,0),IFERROR(G27*1,0),IFERROR(L13*1,0),IFERROR(G13*1,0),IFERROR(B13*1,0),IFERROR(Q9*1,0))</f>
        <v>0</v>
      </c>
      <c r="M28" s="12" t="s">
        <v>103</v>
      </c>
      <c r="N28" s="15">
        <f ca="1">N21+N22+N23+N24+N20</f>
        <v>0</v>
      </c>
      <c r="O28" s="200"/>
      <c r="P28" s="190" t="s">
        <v>90</v>
      </c>
      <c r="Q28" s="189">
        <f>B31+D31+L34+L38+D37+B37</f>
        <v>0</v>
      </c>
      <c r="R28" s="190" t="s">
        <v>73</v>
      </c>
      <c r="S28" s="187">
        <f>S27+S26+S25+S23+S22+S21</f>
        <v>0</v>
      </c>
      <c r="T28" s="41"/>
    </row>
    <row r="29" spans="1:27">
      <c r="A29" s="144" t="s">
        <v>62</v>
      </c>
      <c r="B29" s="145"/>
      <c r="C29" s="145"/>
      <c r="D29" s="146"/>
      <c r="E29" s="2"/>
      <c r="F29" s="147" t="s">
        <v>63</v>
      </c>
      <c r="G29" s="148"/>
      <c r="H29" s="148"/>
      <c r="I29" s="149"/>
      <c r="J29" s="2"/>
      <c r="K29" s="49" t="s">
        <v>104</v>
      </c>
      <c r="L29" s="50">
        <f ca="1">L28+(L18/24)</f>
        <v>0</v>
      </c>
      <c r="M29" s="12" t="s">
        <v>105</v>
      </c>
      <c r="N29" s="229" t="e">
        <f ca="1">N17/L16/24</f>
        <v>#DIV/0!</v>
      </c>
      <c r="O29" s="200"/>
      <c r="P29" s="173" t="s">
        <v>106</v>
      </c>
      <c r="Q29" s="194" t="e">
        <f>Q28/L26</f>
        <v>#DIV/0!</v>
      </c>
      <c r="R29" s="173" t="s">
        <v>106</v>
      </c>
      <c r="S29" s="187" t="e">
        <f>S28/L26</f>
        <v>#DIV/0!</v>
      </c>
      <c r="T29" s="41"/>
    </row>
    <row r="30" spans="1:27">
      <c r="A30" s="17" t="s">
        <v>107</v>
      </c>
      <c r="B30" s="6">
        <f>B2</f>
        <v>0</v>
      </c>
      <c r="C30" s="11" t="s">
        <v>73</v>
      </c>
      <c r="D30" s="6">
        <f>D10</f>
        <v>0</v>
      </c>
      <c r="E30" s="2"/>
      <c r="F30" s="17" t="s">
        <v>107</v>
      </c>
      <c r="G30" s="6">
        <f>G2</f>
        <v>0</v>
      </c>
      <c r="H30" s="11" t="s">
        <v>73</v>
      </c>
      <c r="I30" s="6">
        <f>I10</f>
        <v>0</v>
      </c>
      <c r="J30" s="43"/>
      <c r="K30" s="226" t="s">
        <v>108</v>
      </c>
      <c r="L30" s="225">
        <f ca="1">AVERAGE(L28,L29)</f>
        <v>0</v>
      </c>
      <c r="M30" s="12" t="s">
        <v>109</v>
      </c>
      <c r="N30" s="9">
        <f>MAX(IFERROR(B26*1,0),IFERROR(G26*1,0),IFERROR(L12*1,0),IFERROR(G12*1,0),IFERROR(B12*1,0),IFERROR(Q8*1,0))</f>
        <v>0</v>
      </c>
      <c r="O30" s="41"/>
      <c r="P30" s="203"/>
      <c r="Q30" s="203"/>
      <c r="R30" s="203"/>
      <c r="S30" s="188"/>
      <c r="T30" s="2"/>
    </row>
    <row r="31" spans="1:27">
      <c r="A31" s="17" t="s">
        <v>110</v>
      </c>
      <c r="B31" s="6">
        <f>Q22</f>
        <v>0</v>
      </c>
      <c r="C31" s="136"/>
      <c r="D31" s="138"/>
      <c r="E31" s="2"/>
      <c r="F31" s="17" t="s">
        <v>110</v>
      </c>
      <c r="G31" s="6">
        <f>Q23</f>
        <v>0</v>
      </c>
      <c r="H31" s="136"/>
      <c r="I31" s="138"/>
      <c r="K31" s="52"/>
      <c r="L31" s="1"/>
      <c r="M31" s="1"/>
      <c r="N31" s="1"/>
      <c r="O31" s="19"/>
      <c r="P31" s="260" t="s">
        <v>93</v>
      </c>
      <c r="Q31" s="261"/>
      <c r="R31" s="260" t="s">
        <v>94</v>
      </c>
      <c r="S31" s="261"/>
      <c r="T31" s="41"/>
    </row>
    <row r="32" spans="1:27">
      <c r="A32" s="17" t="s">
        <v>111</v>
      </c>
      <c r="B32" s="18">
        <f>B31/9</f>
        <v>0</v>
      </c>
      <c r="C32" s="137"/>
      <c r="D32" s="139"/>
      <c r="E32" s="2"/>
      <c r="F32" s="17" t="s">
        <v>111</v>
      </c>
      <c r="G32" s="18">
        <f>G31/9</f>
        <v>0</v>
      </c>
      <c r="H32" s="137"/>
      <c r="I32" s="139"/>
      <c r="J32" s="2"/>
      <c r="K32" s="102" t="s">
        <v>64</v>
      </c>
      <c r="L32" s="102"/>
      <c r="M32" s="102"/>
      <c r="N32" s="105"/>
      <c r="O32" s="19"/>
      <c r="P32" s="346" t="s">
        <v>62</v>
      </c>
      <c r="Q32" s="347"/>
      <c r="R32" s="239" t="s">
        <v>96</v>
      </c>
      <c r="S32" s="170" t="e">
        <f>S22/D10</f>
        <v>#DIV/0!</v>
      </c>
      <c r="T32" s="41"/>
    </row>
    <row r="33" spans="1:20">
      <c r="A33" s="17" t="s">
        <v>112</v>
      </c>
      <c r="B33" s="18" t="e">
        <f>B32/D10</f>
        <v>#DIV/0!</v>
      </c>
      <c r="C33" s="140"/>
      <c r="D33" s="141"/>
      <c r="E33" s="2"/>
      <c r="F33" s="17" t="s">
        <v>112</v>
      </c>
      <c r="G33" s="18" t="e">
        <f>G32/I10</f>
        <v>#DIV/0!</v>
      </c>
      <c r="H33" s="140"/>
      <c r="I33" s="141"/>
      <c r="J33" s="2"/>
      <c r="K33" s="17" t="s">
        <v>107</v>
      </c>
      <c r="L33" s="6">
        <f>L2</f>
        <v>0</v>
      </c>
      <c r="M33" s="11" t="s">
        <v>73</v>
      </c>
      <c r="N33" s="57">
        <f>N10</f>
        <v>0</v>
      </c>
      <c r="O33" s="172"/>
      <c r="P33" s="348" t="s">
        <v>63</v>
      </c>
      <c r="Q33" s="349"/>
      <c r="R33" s="240" t="s">
        <v>96</v>
      </c>
      <c r="S33" s="170" t="e">
        <f>S23/I10</f>
        <v>#DIV/0!</v>
      </c>
      <c r="T33" s="167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17" t="s">
        <v>113</v>
      </c>
      <c r="L34" s="6">
        <f>Q24</f>
        <v>0</v>
      </c>
      <c r="M34" s="17" t="s">
        <v>112</v>
      </c>
      <c r="N34" s="18" t="e">
        <f>L34/N10</f>
        <v>#DIV/0!</v>
      </c>
      <c r="O34" s="19"/>
      <c r="P34" s="360" t="s">
        <v>64</v>
      </c>
      <c r="Q34" s="361"/>
      <c r="R34" s="196" t="s">
        <v>97</v>
      </c>
      <c r="S34" s="170" t="e">
        <f>N34</f>
        <v>#DIV/0!</v>
      </c>
      <c r="T34" s="167"/>
    </row>
    <row r="35" spans="1:20">
      <c r="A35" s="150" t="s">
        <v>80</v>
      </c>
      <c r="B35" s="151"/>
      <c r="C35" s="151"/>
      <c r="D35" s="152"/>
      <c r="E35" s="2"/>
      <c r="F35" s="153" t="s">
        <v>81</v>
      </c>
      <c r="G35" s="154"/>
      <c r="H35" s="154"/>
      <c r="I35" s="155"/>
      <c r="J35" s="2"/>
      <c r="K35" s="2"/>
      <c r="L35" s="2"/>
      <c r="M35" s="2"/>
      <c r="N35" s="19"/>
      <c r="O35" s="19"/>
      <c r="P35" s="354" t="s">
        <v>80</v>
      </c>
      <c r="Q35" s="355"/>
      <c r="R35" s="197" t="s">
        <v>99</v>
      </c>
      <c r="S35" s="170" t="e">
        <f>S25/D24</f>
        <v>#DIV/0!</v>
      </c>
      <c r="T35" s="41"/>
    </row>
    <row r="36" spans="1:20">
      <c r="A36" s="17" t="s">
        <v>107</v>
      </c>
      <c r="B36" s="6">
        <f>B16</f>
        <v>0</v>
      </c>
      <c r="C36" s="11" t="s">
        <v>73</v>
      </c>
      <c r="D36" s="6">
        <f>D16</f>
        <v>0</v>
      </c>
      <c r="E36" s="2"/>
      <c r="F36" s="17" t="s">
        <v>107</v>
      </c>
      <c r="G36" s="6">
        <f>G16</f>
        <v>0</v>
      </c>
      <c r="H36" s="11" t="s">
        <v>73</v>
      </c>
      <c r="I36" s="6">
        <f>I16</f>
        <v>0</v>
      </c>
      <c r="J36" s="2"/>
      <c r="K36" s="97" t="s">
        <v>65</v>
      </c>
      <c r="L36" s="97"/>
      <c r="M36" s="97"/>
      <c r="N36" s="101"/>
      <c r="O36" s="19"/>
      <c r="P36" s="356" t="s">
        <v>81</v>
      </c>
      <c r="Q36" s="357"/>
      <c r="R36" s="198" t="s">
        <v>99</v>
      </c>
      <c r="S36" s="170" t="e">
        <f>S26/I24</f>
        <v>#DIV/0!</v>
      </c>
      <c r="T36" s="41"/>
    </row>
    <row r="37" spans="1:20">
      <c r="A37" s="17" t="s">
        <v>110</v>
      </c>
      <c r="B37" s="6">
        <f>Q25</f>
        <v>0</v>
      </c>
      <c r="C37" s="136"/>
      <c r="D37" s="138"/>
      <c r="E37" s="2"/>
      <c r="F37" s="17" t="s">
        <v>110</v>
      </c>
      <c r="G37" s="6">
        <f>Q26</f>
        <v>0</v>
      </c>
      <c r="H37" s="157"/>
      <c r="I37" s="158"/>
      <c r="J37" s="142"/>
      <c r="K37" s="17" t="s">
        <v>107</v>
      </c>
      <c r="L37" s="6">
        <f>Q2</f>
        <v>0</v>
      </c>
      <c r="M37" s="11" t="s">
        <v>73</v>
      </c>
      <c r="N37" s="57">
        <f>S6</f>
        <v>0</v>
      </c>
      <c r="O37" s="19"/>
      <c r="P37" s="358" t="s">
        <v>65</v>
      </c>
      <c r="Q37" s="359"/>
      <c r="R37" s="199" t="s">
        <v>99</v>
      </c>
      <c r="S37" s="171" t="e">
        <f>S27/S6</f>
        <v>#DIV/0!</v>
      </c>
      <c r="T37" s="41"/>
    </row>
    <row r="38" spans="1:20" ht="15" customHeight="1">
      <c r="A38" s="17" t="s">
        <v>111</v>
      </c>
      <c r="B38" s="18">
        <f>B37/10</f>
        <v>0</v>
      </c>
      <c r="C38" s="137"/>
      <c r="D38" s="139"/>
      <c r="E38" s="2"/>
      <c r="F38" s="17" t="s">
        <v>111</v>
      </c>
      <c r="G38" s="18">
        <f>G37/10</f>
        <v>0</v>
      </c>
      <c r="H38" s="159"/>
      <c r="I38" s="160"/>
      <c r="J38" s="156"/>
      <c r="K38" s="17" t="s">
        <v>110</v>
      </c>
      <c r="L38" s="6">
        <f>Q27</f>
        <v>0</v>
      </c>
      <c r="M38" s="295"/>
      <c r="N38" s="296"/>
      <c r="O38" s="19"/>
      <c r="P38" s="338">
        <f ca="1">NOW()</f>
        <v>46315.395410185185</v>
      </c>
      <c r="Q38" s="340" t="s">
        <v>56</v>
      </c>
      <c r="R38" s="350">
        <f ca="1">I27</f>
        <v>46315.395410185185</v>
      </c>
      <c r="S38" s="351"/>
      <c r="T38" s="41"/>
    </row>
    <row r="39" spans="1:20" ht="15" customHeight="1">
      <c r="A39" s="17" t="s">
        <v>112</v>
      </c>
      <c r="B39" s="18" t="e">
        <f>B38/D24</f>
        <v>#DIV/0!</v>
      </c>
      <c r="C39" s="140"/>
      <c r="D39" s="141"/>
      <c r="E39" s="2"/>
      <c r="F39" s="17" t="s">
        <v>112</v>
      </c>
      <c r="G39" s="18" t="e">
        <f>G38/I24</f>
        <v>#DIV/0!</v>
      </c>
      <c r="H39" s="161"/>
      <c r="I39" s="162"/>
      <c r="J39" s="156"/>
      <c r="K39" s="17" t="s">
        <v>111</v>
      </c>
      <c r="L39" s="18">
        <f>L38/16</f>
        <v>0</v>
      </c>
      <c r="M39" s="17" t="s">
        <v>112</v>
      </c>
      <c r="N39" s="18" t="e">
        <f>L39/N37</f>
        <v>#DIV/0!</v>
      </c>
      <c r="O39" s="19"/>
      <c r="P39" s="339"/>
      <c r="Q39" s="341"/>
      <c r="R39" s="352"/>
      <c r="S39" s="353"/>
      <c r="T39" s="167"/>
    </row>
    <row r="40" spans="1:20">
      <c r="A40" s="43"/>
      <c r="B40" s="166"/>
      <c r="C40" s="43"/>
      <c r="D40" s="43"/>
      <c r="E40" s="43"/>
      <c r="F40" s="43"/>
      <c r="G40" s="166"/>
      <c r="H40" s="43"/>
      <c r="I40" s="43"/>
      <c r="J40" s="156"/>
      <c r="K40" s="43"/>
      <c r="L40" s="43"/>
      <c r="M40" s="43"/>
      <c r="N40" s="143"/>
      <c r="O40" s="43"/>
      <c r="P40" s="42"/>
      <c r="Q40" s="42"/>
      <c r="R40" s="42"/>
      <c r="S40" s="56"/>
      <c r="T40" s="43"/>
    </row>
    <row r="41" spans="1:20">
      <c r="E41"/>
      <c r="I41" s="223"/>
      <c r="J41" s="163"/>
      <c r="P41" s="163"/>
      <c r="Q41" s="163"/>
      <c r="R41" s="163"/>
      <c r="S41" s="163"/>
    </row>
    <row r="42" spans="1:20">
      <c r="E42"/>
      <c r="J42" s="163"/>
      <c r="P42" s="163"/>
      <c r="Q42" s="163"/>
      <c r="R42" s="163"/>
      <c r="S42" s="163"/>
    </row>
    <row r="43" spans="1:20">
      <c r="E43"/>
      <c r="J43"/>
      <c r="P43" s="163"/>
      <c r="Q43" s="163"/>
      <c r="R43" s="163"/>
      <c r="S43" s="163"/>
    </row>
    <row r="44" spans="1:20">
      <c r="E44"/>
      <c r="H44" s="114"/>
      <c r="J44"/>
      <c r="P44" s="163"/>
      <c r="Q44" s="163"/>
      <c r="R44" s="163"/>
      <c r="S44" s="163"/>
    </row>
    <row r="45" spans="1:20">
      <c r="E45"/>
      <c r="H45" s="224"/>
      <c r="J45"/>
      <c r="P45" s="163"/>
      <c r="Q45" s="163"/>
      <c r="R45" s="163"/>
      <c r="S45" s="163"/>
    </row>
    <row r="46" spans="1:20">
      <c r="E46"/>
      <c r="J46"/>
    </row>
    <row r="47" spans="1:20">
      <c r="E47"/>
      <c r="J47"/>
      <c r="P47" s="164" t="s">
        <v>17</v>
      </c>
      <c r="Q47" s="118"/>
      <c r="R47" s="163"/>
      <c r="S47" s="163"/>
    </row>
    <row r="48" spans="1:20">
      <c r="E48"/>
      <c r="J48"/>
    </row>
    <row r="49" spans="5:17">
      <c r="E49"/>
      <c r="J49"/>
      <c r="P49" s="165"/>
      <c r="Q49" s="165"/>
    </row>
    <row r="50" spans="5:17">
      <c r="E50"/>
      <c r="J50"/>
    </row>
    <row r="51" spans="5:17">
      <c r="E51"/>
      <c r="J51"/>
    </row>
    <row r="52" spans="5:17">
      <c r="E52"/>
      <c r="J52"/>
    </row>
    <row r="53" spans="5:17">
      <c r="E53"/>
      <c r="J53"/>
    </row>
    <row r="54" spans="5:17">
      <c r="E54"/>
      <c r="J54"/>
    </row>
    <row r="55" spans="5:17">
      <c r="E55"/>
      <c r="J55"/>
    </row>
    <row r="56" spans="5:17">
      <c r="E56"/>
      <c r="J56"/>
    </row>
    <row r="57" spans="5:17">
      <c r="E57"/>
      <c r="J57"/>
    </row>
    <row r="58" spans="5:17">
      <c r="E58"/>
      <c r="J58"/>
    </row>
    <row r="59" spans="5:17">
      <c r="E59"/>
      <c r="J59"/>
    </row>
    <row r="60" spans="5:17">
      <c r="E60"/>
      <c r="J60"/>
    </row>
    <row r="61" spans="5:17">
      <c r="E61"/>
      <c r="J61"/>
    </row>
    <row r="62" spans="5:17">
      <c r="E62"/>
      <c r="J62"/>
    </row>
    <row r="63" spans="5:17">
      <c r="E63"/>
      <c r="J63"/>
    </row>
    <row r="64" spans="5:17">
      <c r="E64"/>
      <c r="J64"/>
    </row>
    <row r="65" spans="5:17">
      <c r="E65"/>
      <c r="J65"/>
      <c r="Q65">
        <v>4</v>
      </c>
    </row>
    <row r="66" spans="5:17">
      <c r="E66"/>
      <c r="J66"/>
    </row>
    <row r="67" spans="5:17">
      <c r="E67"/>
      <c r="J67"/>
    </row>
    <row r="68" spans="5:17">
      <c r="E68"/>
      <c r="J68"/>
    </row>
    <row r="69" spans="5:17">
      <c r="E69"/>
      <c r="J69"/>
    </row>
    <row r="70" spans="5:17">
      <c r="E70"/>
      <c r="J70"/>
    </row>
    <row r="71" spans="5:17">
      <c r="E71"/>
      <c r="J71"/>
    </row>
    <row r="72" spans="5:17">
      <c r="E72"/>
      <c r="J72"/>
    </row>
    <row r="73" spans="5:17">
      <c r="E73"/>
      <c r="J73"/>
    </row>
    <row r="74" spans="5:17">
      <c r="E74"/>
      <c r="J74"/>
    </row>
    <row r="75" spans="5:17">
      <c r="E75"/>
      <c r="J75"/>
    </row>
    <row r="76" spans="5:17">
      <c r="E76"/>
      <c r="J76"/>
    </row>
    <row r="77" spans="5:17">
      <c r="E77"/>
      <c r="J77"/>
    </row>
    <row r="78" spans="5:17">
      <c r="E78"/>
      <c r="J78"/>
    </row>
    <row r="79" spans="5:17">
      <c r="E79"/>
      <c r="J79"/>
    </row>
    <row r="80" spans="5:17">
      <c r="E80"/>
      <c r="J80"/>
    </row>
    <row r="81" spans="5:10">
      <c r="E81"/>
      <c r="J81"/>
    </row>
    <row r="82" spans="5:10">
      <c r="E82"/>
      <c r="J82"/>
    </row>
    <row r="83" spans="5:10">
      <c r="E83"/>
      <c r="J83"/>
    </row>
    <row r="84" spans="5:10">
      <c r="E84"/>
      <c r="J84"/>
    </row>
    <row r="85" spans="5:10">
      <c r="E85"/>
      <c r="J85"/>
    </row>
    <row r="86" spans="5:10">
      <c r="E86"/>
      <c r="J86"/>
    </row>
    <row r="87" spans="5:10">
      <c r="E87"/>
      <c r="J87"/>
    </row>
    <row r="88" spans="5:10">
      <c r="E88"/>
      <c r="J88"/>
    </row>
    <row r="89" spans="5:10">
      <c r="E89"/>
      <c r="J89"/>
    </row>
    <row r="90" spans="5:10">
      <c r="E90"/>
      <c r="J90"/>
    </row>
    <row r="91" spans="5:10">
      <c r="E91"/>
      <c r="J91"/>
    </row>
    <row r="92" spans="5:10">
      <c r="E92"/>
      <c r="J92"/>
    </row>
    <row r="93" spans="5:10">
      <c r="E93"/>
      <c r="J93"/>
    </row>
    <row r="94" spans="5:10">
      <c r="E94"/>
      <c r="J94"/>
    </row>
    <row r="95" spans="5:10">
      <c r="E95"/>
      <c r="J95"/>
    </row>
    <row r="96" spans="5:10">
      <c r="E96"/>
      <c r="J96"/>
    </row>
    <row r="97" spans="5:10">
      <c r="E97"/>
      <c r="J97"/>
    </row>
    <row r="98" spans="5:10">
      <c r="E98"/>
      <c r="J98"/>
    </row>
    <row r="99" spans="5:10">
      <c r="E99"/>
      <c r="J99"/>
    </row>
    <row r="100" spans="5:10">
      <c r="E100"/>
      <c r="J100"/>
    </row>
    <row r="101" spans="5:10">
      <c r="E101"/>
      <c r="J101"/>
    </row>
    <row r="102" spans="5:10">
      <c r="E102"/>
      <c r="J102"/>
    </row>
    <row r="103" spans="5:10">
      <c r="E103"/>
      <c r="J103"/>
    </row>
    <row r="104" spans="5:10">
      <c r="E104"/>
      <c r="J104"/>
    </row>
    <row r="105" spans="5:10">
      <c r="E105"/>
      <c r="J105"/>
    </row>
    <row r="106" spans="5:10">
      <c r="E106"/>
      <c r="J106"/>
    </row>
    <row r="107" spans="5:10">
      <c r="E107"/>
      <c r="J107"/>
    </row>
    <row r="108" spans="5:10">
      <c r="E108"/>
      <c r="J108"/>
    </row>
    <row r="109" spans="5:10">
      <c r="E109"/>
      <c r="J109"/>
    </row>
    <row r="110" spans="5:10">
      <c r="E110"/>
      <c r="J110"/>
    </row>
    <row r="111" spans="5:10">
      <c r="E111"/>
      <c r="J111"/>
    </row>
    <row r="112" spans="5:10">
      <c r="E112"/>
      <c r="J112"/>
    </row>
    <row r="113" spans="5:10">
      <c r="E113"/>
      <c r="J113"/>
    </row>
    <row r="114" spans="5:10">
      <c r="E114"/>
      <c r="J114"/>
    </row>
    <row r="115" spans="5:10">
      <c r="E115"/>
      <c r="J115"/>
    </row>
    <row r="116" spans="5:10">
      <c r="E116"/>
      <c r="J116"/>
    </row>
    <row r="117" spans="5:10">
      <c r="E117"/>
      <c r="J117"/>
    </row>
    <row r="118" spans="5:10">
      <c r="E118"/>
      <c r="J118"/>
    </row>
    <row r="119" spans="5:10">
      <c r="E119"/>
      <c r="J119"/>
    </row>
    <row r="120" spans="5:10">
      <c r="E120"/>
      <c r="J120"/>
    </row>
    <row r="121" spans="5:10">
      <c r="E121"/>
      <c r="J121"/>
    </row>
    <row r="122" spans="5:10">
      <c r="E122"/>
      <c r="J122"/>
    </row>
    <row r="123" spans="5:10">
      <c r="E123"/>
      <c r="J123"/>
    </row>
    <row r="124" spans="5:10">
      <c r="E124"/>
      <c r="J124"/>
    </row>
    <row r="125" spans="5:10">
      <c r="E125"/>
      <c r="J125"/>
    </row>
    <row r="126" spans="5:10">
      <c r="E126"/>
      <c r="J126"/>
    </row>
    <row r="127" spans="5:10">
      <c r="E127"/>
      <c r="J127"/>
    </row>
    <row r="128" spans="5:10">
      <c r="E128"/>
      <c r="J128"/>
    </row>
    <row r="129" spans="5:10">
      <c r="E129"/>
      <c r="J129"/>
    </row>
    <row r="130" spans="5:10">
      <c r="E130"/>
      <c r="J130"/>
    </row>
    <row r="131" spans="5:10">
      <c r="E131"/>
      <c r="J131"/>
    </row>
    <row r="132" spans="5:10">
      <c r="E132"/>
      <c r="J132"/>
    </row>
    <row r="133" spans="5:10">
      <c r="E133"/>
      <c r="J133"/>
    </row>
    <row r="134" spans="5:10">
      <c r="E134"/>
      <c r="J134"/>
    </row>
    <row r="135" spans="5:10">
      <c r="E135"/>
      <c r="J135"/>
    </row>
    <row r="136" spans="5:10">
      <c r="E136"/>
      <c r="J136"/>
    </row>
    <row r="137" spans="5:10">
      <c r="E137"/>
      <c r="J137"/>
    </row>
    <row r="138" spans="5:10">
      <c r="E138"/>
      <c r="J138"/>
    </row>
    <row r="139" spans="5:10">
      <c r="E139"/>
      <c r="J139"/>
    </row>
    <row r="140" spans="5:10">
      <c r="E140"/>
      <c r="J140"/>
    </row>
    <row r="141" spans="5:10">
      <c r="E141"/>
      <c r="J141"/>
    </row>
    <row r="142" spans="5:10">
      <c r="E142"/>
      <c r="J142"/>
    </row>
    <row r="143" spans="5:10">
      <c r="E143"/>
      <c r="J143"/>
    </row>
    <row r="144" spans="5:10">
      <c r="E144"/>
      <c r="J144"/>
    </row>
    <row r="145" spans="5:10">
      <c r="E145"/>
      <c r="J145"/>
    </row>
    <row r="146" spans="5:10">
      <c r="E146"/>
      <c r="J146"/>
    </row>
    <row r="147" spans="5:10">
      <c r="E147"/>
      <c r="J147"/>
    </row>
    <row r="148" spans="5:10">
      <c r="E148"/>
      <c r="J148"/>
    </row>
    <row r="149" spans="5:10">
      <c r="E149"/>
      <c r="J149"/>
    </row>
    <row r="150" spans="5:10">
      <c r="E150"/>
      <c r="J150"/>
    </row>
    <row r="151" spans="5:10">
      <c r="E151"/>
      <c r="J151"/>
    </row>
    <row r="152" spans="5:10">
      <c r="E152"/>
      <c r="J152"/>
    </row>
    <row r="153" spans="5:10">
      <c r="E153"/>
      <c r="J153"/>
    </row>
    <row r="154" spans="5:10">
      <c r="E154"/>
      <c r="J154"/>
    </row>
    <row r="155" spans="5:10">
      <c r="E155"/>
      <c r="J155"/>
    </row>
    <row r="156" spans="5:10">
      <c r="E156"/>
      <c r="J156"/>
    </row>
    <row r="157" spans="5:10">
      <c r="E157"/>
      <c r="J157"/>
    </row>
    <row r="158" spans="5:10">
      <c r="E158"/>
      <c r="J158"/>
    </row>
    <row r="159" spans="5:10">
      <c r="E159"/>
      <c r="J159"/>
    </row>
    <row r="160" spans="5:10">
      <c r="E160"/>
      <c r="J160"/>
    </row>
    <row r="161" spans="5:10">
      <c r="E161"/>
      <c r="J161"/>
    </row>
    <row r="162" spans="5:10">
      <c r="E162"/>
      <c r="J162"/>
    </row>
    <row r="163" spans="5:10">
      <c r="E163"/>
      <c r="J163"/>
    </row>
    <row r="164" spans="5:10">
      <c r="E164"/>
      <c r="J164"/>
    </row>
    <row r="165" spans="5:10">
      <c r="E165"/>
      <c r="J165"/>
    </row>
    <row r="166" spans="5:10">
      <c r="E166"/>
      <c r="J166"/>
    </row>
    <row r="167" spans="5:10">
      <c r="E167"/>
      <c r="J167"/>
    </row>
    <row r="168" spans="5:10">
      <c r="E168"/>
      <c r="J168"/>
    </row>
    <row r="169" spans="5:10">
      <c r="E169"/>
      <c r="J169"/>
    </row>
    <row r="170" spans="5:10">
      <c r="E170"/>
      <c r="J170"/>
    </row>
    <row r="171" spans="5:10">
      <c r="E171"/>
      <c r="J171"/>
    </row>
    <row r="172" spans="5:10">
      <c r="E172"/>
      <c r="J172"/>
    </row>
    <row r="173" spans="5:10">
      <c r="E173"/>
      <c r="J173"/>
    </row>
    <row r="174" spans="5:10">
      <c r="E174"/>
      <c r="J174"/>
    </row>
    <row r="175" spans="5:10">
      <c r="E175"/>
      <c r="J175"/>
    </row>
    <row r="176" spans="5:10">
      <c r="E176"/>
      <c r="J176"/>
    </row>
    <row r="177" spans="5:10">
      <c r="E177"/>
      <c r="J177"/>
    </row>
    <row r="178" spans="5:10">
      <c r="E178"/>
      <c r="J178"/>
    </row>
    <row r="179" spans="5:10">
      <c r="E179"/>
      <c r="J179"/>
    </row>
    <row r="180" spans="5:10">
      <c r="E180"/>
      <c r="J180"/>
    </row>
    <row r="181" spans="5:10">
      <c r="E181"/>
      <c r="J181"/>
    </row>
    <row r="182" spans="5:10">
      <c r="E182"/>
      <c r="J182"/>
    </row>
    <row r="183" spans="5:10">
      <c r="E183"/>
      <c r="J183"/>
    </row>
    <row r="184" spans="5:10">
      <c r="E184"/>
      <c r="J184"/>
    </row>
    <row r="185" spans="5:10">
      <c r="E185"/>
      <c r="J185"/>
    </row>
    <row r="186" spans="5:10">
      <c r="E186"/>
      <c r="J186"/>
    </row>
    <row r="187" spans="5:10">
      <c r="E187"/>
      <c r="J187"/>
    </row>
    <row r="188" spans="5:10">
      <c r="E188"/>
      <c r="J188"/>
    </row>
    <row r="189" spans="5:10">
      <c r="E189"/>
      <c r="J189"/>
    </row>
    <row r="190" spans="5:10">
      <c r="E190"/>
      <c r="J190"/>
    </row>
    <row r="191" spans="5:10">
      <c r="E191"/>
      <c r="J191"/>
    </row>
    <row r="192" spans="5:10">
      <c r="E192"/>
      <c r="J192"/>
    </row>
    <row r="193" spans="5:10">
      <c r="E193"/>
      <c r="J193"/>
    </row>
    <row r="194" spans="5:10">
      <c r="E194"/>
      <c r="J194"/>
    </row>
    <row r="195" spans="5:10">
      <c r="E195"/>
      <c r="J195"/>
    </row>
    <row r="196" spans="5:10">
      <c r="E196"/>
      <c r="J196"/>
    </row>
    <row r="197" spans="5:10">
      <c r="E197"/>
      <c r="J197"/>
    </row>
    <row r="198" spans="5:10">
      <c r="E198"/>
      <c r="J198"/>
    </row>
    <row r="199" spans="5:10">
      <c r="E199"/>
      <c r="J199"/>
    </row>
    <row r="200" spans="5:10">
      <c r="E200"/>
      <c r="J200"/>
    </row>
    <row r="201" spans="5:10">
      <c r="E201"/>
      <c r="J201"/>
    </row>
    <row r="202" spans="5:10">
      <c r="E202"/>
      <c r="J202"/>
    </row>
    <row r="203" spans="5:10">
      <c r="E203"/>
      <c r="J203"/>
    </row>
    <row r="204" spans="5:10">
      <c r="E204"/>
      <c r="J204"/>
    </row>
    <row r="205" spans="5:10">
      <c r="E205"/>
      <c r="J205"/>
    </row>
    <row r="206" spans="5:10">
      <c r="E206"/>
      <c r="J206"/>
    </row>
    <row r="207" spans="5:10">
      <c r="E207"/>
      <c r="J207"/>
    </row>
    <row r="208" spans="5:10">
      <c r="E208"/>
      <c r="J208"/>
    </row>
    <row r="209" spans="5:10">
      <c r="E209"/>
      <c r="J209"/>
    </row>
    <row r="210" spans="5:10">
      <c r="E210"/>
      <c r="J210"/>
    </row>
    <row r="211" spans="5:10">
      <c r="E211"/>
      <c r="J211"/>
    </row>
    <row r="212" spans="5:10">
      <c r="E212"/>
      <c r="J212"/>
    </row>
    <row r="213" spans="5:10">
      <c r="E213"/>
      <c r="J213"/>
    </row>
    <row r="214" spans="5:10">
      <c r="E214"/>
      <c r="J214"/>
    </row>
    <row r="215" spans="5:10">
      <c r="E215"/>
      <c r="J215"/>
    </row>
    <row r="216" spans="5:10">
      <c r="E216"/>
      <c r="J216"/>
    </row>
    <row r="217" spans="5:10">
      <c r="E217"/>
      <c r="J217"/>
    </row>
    <row r="218" spans="5:10">
      <c r="E218"/>
      <c r="J218"/>
    </row>
    <row r="219" spans="5:10">
      <c r="E219"/>
      <c r="J219"/>
    </row>
    <row r="220" spans="5:10">
      <c r="E220"/>
      <c r="J220"/>
    </row>
    <row r="221" spans="5:10">
      <c r="E221"/>
      <c r="J221"/>
    </row>
    <row r="222" spans="5:10">
      <c r="E222"/>
      <c r="J222"/>
    </row>
    <row r="223" spans="5:10">
      <c r="E223"/>
      <c r="J223"/>
    </row>
    <row r="224" spans="5:10">
      <c r="E224"/>
      <c r="J224"/>
    </row>
    <row r="225" spans="5:10">
      <c r="E225"/>
      <c r="J225"/>
    </row>
    <row r="226" spans="5:10">
      <c r="E226"/>
      <c r="J226"/>
    </row>
    <row r="227" spans="5:10">
      <c r="E227"/>
      <c r="J227"/>
    </row>
    <row r="228" spans="5:10">
      <c r="E228"/>
      <c r="J228"/>
    </row>
    <row r="229" spans="5:10">
      <c r="E229"/>
      <c r="J229"/>
    </row>
    <row r="230" spans="5:10">
      <c r="E230"/>
      <c r="J230"/>
    </row>
    <row r="231" spans="5:10">
      <c r="E231"/>
      <c r="J231"/>
    </row>
    <row r="232" spans="5:10">
      <c r="E232"/>
      <c r="J232"/>
    </row>
    <row r="233" spans="5:10">
      <c r="E233"/>
      <c r="J233"/>
    </row>
    <row r="234" spans="5:10">
      <c r="E234"/>
      <c r="J234"/>
    </row>
    <row r="235" spans="5:10">
      <c r="E235"/>
      <c r="J235"/>
    </row>
    <row r="236" spans="5:10">
      <c r="E236"/>
      <c r="J236"/>
    </row>
    <row r="237" spans="5:10">
      <c r="E237"/>
      <c r="J237"/>
    </row>
    <row r="238" spans="5:10">
      <c r="E238"/>
      <c r="J238"/>
    </row>
    <row r="239" spans="5:10">
      <c r="E239"/>
      <c r="J239"/>
    </row>
    <row r="240" spans="5:10">
      <c r="E240"/>
      <c r="J240"/>
    </row>
    <row r="241" spans="5:10">
      <c r="E241"/>
      <c r="J241"/>
    </row>
    <row r="242" spans="5:10">
      <c r="E242"/>
      <c r="J242"/>
    </row>
    <row r="243" spans="5:10">
      <c r="E243"/>
      <c r="J243"/>
    </row>
    <row r="244" spans="5:10">
      <c r="E244"/>
      <c r="J244"/>
    </row>
    <row r="245" spans="5:10">
      <c r="E245"/>
      <c r="J245"/>
    </row>
    <row r="246" spans="5:10">
      <c r="E246"/>
      <c r="J246"/>
    </row>
    <row r="247" spans="5:10">
      <c r="E247"/>
      <c r="J247"/>
    </row>
    <row r="248" spans="5:10">
      <c r="E248"/>
      <c r="J248"/>
    </row>
    <row r="249" spans="5:10">
      <c r="E249"/>
      <c r="J249"/>
    </row>
    <row r="250" spans="5:10">
      <c r="E250"/>
      <c r="J250"/>
    </row>
    <row r="251" spans="5:10">
      <c r="E251"/>
      <c r="J251"/>
    </row>
    <row r="252" spans="5:10">
      <c r="E252"/>
      <c r="J252"/>
    </row>
    <row r="253" spans="5:10">
      <c r="E253"/>
      <c r="J253"/>
    </row>
    <row r="254" spans="5:10">
      <c r="E254"/>
      <c r="J254"/>
    </row>
    <row r="255" spans="5:10">
      <c r="E255"/>
      <c r="J255"/>
    </row>
    <row r="256" spans="5:10">
      <c r="E256"/>
      <c r="J256"/>
    </row>
    <row r="257" spans="5:10">
      <c r="E257"/>
      <c r="J257"/>
    </row>
    <row r="258" spans="5:10">
      <c r="E258"/>
      <c r="J258"/>
    </row>
    <row r="259" spans="5:10">
      <c r="E259"/>
      <c r="J259"/>
    </row>
    <row r="260" spans="5:10">
      <c r="E260"/>
      <c r="J260"/>
    </row>
    <row r="261" spans="5:10">
      <c r="E261"/>
      <c r="J261"/>
    </row>
    <row r="262" spans="5:10">
      <c r="E262"/>
      <c r="J262"/>
    </row>
    <row r="263" spans="5:10">
      <c r="E263"/>
      <c r="J263"/>
    </row>
    <row r="264" spans="5:10">
      <c r="E264"/>
      <c r="J264"/>
    </row>
    <row r="265" spans="5:10">
      <c r="E265"/>
      <c r="J265"/>
    </row>
    <row r="266" spans="5:10">
      <c r="E266"/>
      <c r="J266"/>
    </row>
    <row r="267" spans="5:10">
      <c r="E267"/>
      <c r="J267"/>
    </row>
    <row r="268" spans="5:10">
      <c r="E268"/>
      <c r="J268"/>
    </row>
    <row r="269" spans="5:10">
      <c r="E269"/>
      <c r="J269"/>
    </row>
    <row r="270" spans="5:10">
      <c r="E270"/>
      <c r="J270"/>
    </row>
    <row r="271" spans="5:10">
      <c r="E271"/>
      <c r="J271"/>
    </row>
    <row r="272" spans="5:10">
      <c r="E272"/>
      <c r="J272"/>
    </row>
    <row r="273" spans="5:10">
      <c r="E273"/>
      <c r="J273"/>
    </row>
    <row r="274" spans="5:10">
      <c r="E274"/>
      <c r="J274"/>
    </row>
    <row r="275" spans="5:10">
      <c r="E275"/>
      <c r="J275"/>
    </row>
    <row r="276" spans="5:10">
      <c r="E276"/>
      <c r="J276"/>
    </row>
    <row r="277" spans="5:10">
      <c r="E277"/>
      <c r="J277"/>
    </row>
    <row r="278" spans="5:10">
      <c r="E278"/>
      <c r="J278"/>
    </row>
    <row r="279" spans="5:10">
      <c r="E279"/>
      <c r="J279"/>
    </row>
    <row r="280" spans="5:10">
      <c r="E280"/>
      <c r="J280"/>
    </row>
    <row r="281" spans="5:10">
      <c r="E281"/>
      <c r="J281"/>
    </row>
    <row r="282" spans="5:10">
      <c r="E282"/>
      <c r="J282"/>
    </row>
    <row r="283" spans="5:10">
      <c r="E283"/>
      <c r="J283"/>
    </row>
    <row r="284" spans="5:10">
      <c r="E284"/>
      <c r="J284"/>
    </row>
    <row r="285" spans="5:10">
      <c r="E285"/>
      <c r="J285"/>
    </row>
    <row r="286" spans="5:10">
      <c r="E286"/>
      <c r="J286"/>
    </row>
    <row r="287" spans="5:10">
      <c r="E287"/>
      <c r="J287"/>
    </row>
    <row r="288" spans="5:10">
      <c r="E288"/>
      <c r="J288"/>
    </row>
    <row r="289" spans="5:10">
      <c r="E289"/>
      <c r="J289"/>
    </row>
    <row r="290" spans="5:10">
      <c r="E290"/>
      <c r="J290"/>
    </row>
    <row r="291" spans="5:10">
      <c r="E291"/>
      <c r="J291"/>
    </row>
    <row r="292" spans="5:10">
      <c r="E292"/>
      <c r="J292"/>
    </row>
    <row r="293" spans="5:10">
      <c r="E293"/>
      <c r="J293"/>
    </row>
    <row r="294" spans="5:10">
      <c r="E294"/>
      <c r="J294"/>
    </row>
    <row r="295" spans="5:10">
      <c r="E295"/>
      <c r="J295"/>
    </row>
    <row r="296" spans="5:10">
      <c r="E296"/>
      <c r="J296"/>
    </row>
    <row r="297" spans="5:10">
      <c r="E297"/>
      <c r="J297"/>
    </row>
    <row r="298" spans="5:10">
      <c r="E298"/>
      <c r="J298"/>
    </row>
    <row r="299" spans="5:10">
      <c r="E299"/>
      <c r="J299"/>
    </row>
    <row r="300" spans="5:10">
      <c r="E300"/>
      <c r="J300"/>
    </row>
    <row r="301" spans="5:10">
      <c r="E301"/>
      <c r="J301"/>
    </row>
    <row r="302" spans="5:10">
      <c r="E302"/>
      <c r="J302"/>
    </row>
    <row r="303" spans="5:10">
      <c r="E303"/>
      <c r="J303"/>
    </row>
    <row r="304" spans="5:10">
      <c r="E304"/>
      <c r="J304"/>
    </row>
    <row r="305" spans="5:10">
      <c r="E305"/>
      <c r="J305"/>
    </row>
    <row r="306" spans="5:10">
      <c r="E306"/>
      <c r="J306"/>
    </row>
    <row r="307" spans="5:10">
      <c r="E307"/>
      <c r="J307"/>
    </row>
    <row r="308" spans="5:10">
      <c r="E308"/>
      <c r="J308"/>
    </row>
    <row r="309" spans="5:10">
      <c r="E309"/>
      <c r="J309"/>
    </row>
    <row r="310" spans="5:10">
      <c r="E310"/>
      <c r="J310"/>
    </row>
    <row r="311" spans="5:10">
      <c r="E311"/>
      <c r="J311"/>
    </row>
    <row r="312" spans="5:10">
      <c r="E312"/>
      <c r="J312"/>
    </row>
    <row r="313" spans="5:10">
      <c r="E313"/>
      <c r="J313"/>
    </row>
    <row r="314" spans="5:10">
      <c r="E314"/>
      <c r="J314"/>
    </row>
    <row r="315" spans="5:10">
      <c r="E315"/>
      <c r="J315"/>
    </row>
    <row r="316" spans="5:10">
      <c r="E316"/>
      <c r="J316"/>
    </row>
    <row r="317" spans="5:10">
      <c r="E317"/>
      <c r="J317"/>
    </row>
    <row r="318" spans="5:10">
      <c r="E318"/>
      <c r="J318"/>
    </row>
    <row r="319" spans="5:10">
      <c r="E319"/>
      <c r="J319"/>
    </row>
    <row r="320" spans="5:10">
      <c r="E320"/>
      <c r="J320"/>
    </row>
    <row r="321" spans="5:10">
      <c r="E321"/>
      <c r="J321"/>
    </row>
    <row r="322" spans="5:10">
      <c r="E322"/>
      <c r="J322"/>
    </row>
    <row r="323" spans="5:10">
      <c r="E323"/>
      <c r="J323"/>
    </row>
    <row r="324" spans="5:10">
      <c r="E324"/>
      <c r="J324"/>
    </row>
    <row r="325" spans="5:10">
      <c r="E325"/>
      <c r="J325"/>
    </row>
    <row r="326" spans="5:10">
      <c r="E326"/>
      <c r="J326"/>
    </row>
    <row r="327" spans="5:10">
      <c r="E327"/>
      <c r="J327"/>
    </row>
    <row r="328" spans="5:10">
      <c r="E328"/>
      <c r="J328"/>
    </row>
    <row r="329" spans="5:10">
      <c r="E329"/>
      <c r="J329"/>
    </row>
    <row r="330" spans="5:10">
      <c r="E330"/>
      <c r="J330"/>
    </row>
    <row r="331" spans="5:10">
      <c r="E331"/>
      <c r="J331"/>
    </row>
    <row r="332" spans="5:10">
      <c r="E332"/>
      <c r="J332"/>
    </row>
    <row r="333" spans="5:10">
      <c r="E333"/>
      <c r="J333"/>
    </row>
    <row r="334" spans="5:10">
      <c r="E334"/>
      <c r="J334"/>
    </row>
    <row r="335" spans="5:10">
      <c r="E335"/>
      <c r="J335"/>
    </row>
    <row r="336" spans="5:10">
      <c r="E336"/>
      <c r="J336"/>
    </row>
    <row r="337" spans="5:10">
      <c r="E337"/>
      <c r="J337"/>
    </row>
    <row r="338" spans="5:10">
      <c r="E338"/>
      <c r="J338"/>
    </row>
    <row r="339" spans="5:10">
      <c r="E339"/>
      <c r="J339"/>
    </row>
    <row r="340" spans="5:10">
      <c r="E340"/>
      <c r="J340"/>
    </row>
    <row r="341" spans="5:10">
      <c r="E341"/>
      <c r="J341"/>
    </row>
    <row r="342" spans="5:10">
      <c r="E342"/>
      <c r="J342"/>
    </row>
    <row r="343" spans="5:10">
      <c r="E343"/>
      <c r="J343"/>
    </row>
    <row r="344" spans="5:10">
      <c r="E344"/>
      <c r="J344"/>
    </row>
    <row r="345" spans="5:10">
      <c r="E345"/>
      <c r="J345"/>
    </row>
    <row r="346" spans="5:10">
      <c r="E346"/>
      <c r="J346"/>
    </row>
    <row r="347" spans="5:10">
      <c r="E347"/>
      <c r="J347"/>
    </row>
    <row r="348" spans="5:10">
      <c r="E348"/>
      <c r="J348"/>
    </row>
    <row r="349" spans="5:10">
      <c r="E349"/>
      <c r="J349"/>
    </row>
    <row r="350" spans="5:10">
      <c r="E350"/>
      <c r="J350"/>
    </row>
    <row r="351" spans="5:10">
      <c r="E351"/>
      <c r="J351"/>
    </row>
    <row r="352" spans="5:10">
      <c r="E352"/>
      <c r="J352"/>
    </row>
    <row r="353" spans="5:10">
      <c r="E353"/>
      <c r="J353"/>
    </row>
    <row r="354" spans="5:10">
      <c r="E354"/>
      <c r="J354"/>
    </row>
    <row r="355" spans="5:10">
      <c r="E355"/>
      <c r="J355"/>
    </row>
    <row r="356" spans="5:10">
      <c r="E356"/>
      <c r="J356"/>
    </row>
    <row r="357" spans="5:10">
      <c r="E357"/>
      <c r="J357"/>
    </row>
    <row r="358" spans="5:10">
      <c r="E358"/>
      <c r="J358"/>
    </row>
    <row r="359" spans="5:10">
      <c r="E359"/>
      <c r="J359"/>
    </row>
    <row r="360" spans="5:10">
      <c r="E360"/>
      <c r="J360"/>
    </row>
    <row r="361" spans="5:10">
      <c r="E361"/>
      <c r="J361"/>
    </row>
    <row r="362" spans="5:10">
      <c r="E362"/>
      <c r="J362"/>
    </row>
    <row r="363" spans="5:10">
      <c r="E363"/>
      <c r="J363"/>
    </row>
    <row r="364" spans="5:10">
      <c r="E364"/>
      <c r="J364"/>
    </row>
    <row r="365" spans="5:10">
      <c r="E365"/>
      <c r="J365"/>
    </row>
    <row r="366" spans="5:10">
      <c r="E366"/>
      <c r="J366"/>
    </row>
    <row r="367" spans="5:10">
      <c r="E367"/>
      <c r="J367"/>
    </row>
    <row r="368" spans="5:10">
      <c r="E368"/>
      <c r="J368"/>
    </row>
    <row r="369" spans="5:10">
      <c r="E369"/>
      <c r="J369"/>
    </row>
    <row r="370" spans="5:10">
      <c r="E370"/>
      <c r="J370"/>
    </row>
    <row r="371" spans="5:10">
      <c r="E371"/>
      <c r="J371"/>
    </row>
    <row r="372" spans="5:10">
      <c r="E372"/>
      <c r="J372"/>
    </row>
    <row r="373" spans="5:10">
      <c r="E373"/>
      <c r="J373"/>
    </row>
    <row r="374" spans="5:10">
      <c r="E374"/>
      <c r="J374"/>
    </row>
    <row r="375" spans="5:10">
      <c r="E375"/>
      <c r="J375"/>
    </row>
    <row r="376" spans="5:10">
      <c r="E376"/>
      <c r="J376"/>
    </row>
    <row r="377" spans="5:10">
      <c r="E377"/>
      <c r="J377"/>
    </row>
    <row r="378" spans="5:10">
      <c r="E378"/>
      <c r="J378"/>
    </row>
    <row r="379" spans="5:10">
      <c r="E379"/>
      <c r="J379"/>
    </row>
    <row r="380" spans="5:10">
      <c r="E380"/>
      <c r="J380"/>
    </row>
    <row r="381" spans="5:10">
      <c r="E381"/>
      <c r="J381"/>
    </row>
    <row r="382" spans="5:10">
      <c r="E382"/>
      <c r="J382"/>
    </row>
    <row r="383" spans="5:10">
      <c r="E383"/>
      <c r="J383"/>
    </row>
    <row r="384" spans="5:10">
      <c r="E384"/>
      <c r="J384"/>
    </row>
    <row r="385" spans="5:10">
      <c r="E385"/>
      <c r="J385"/>
    </row>
    <row r="386" spans="5:10">
      <c r="E386"/>
      <c r="J386"/>
    </row>
    <row r="387" spans="5:10">
      <c r="E387"/>
      <c r="J387"/>
    </row>
    <row r="388" spans="5:10">
      <c r="E388"/>
      <c r="J388"/>
    </row>
    <row r="389" spans="5:10">
      <c r="E389"/>
      <c r="J389"/>
    </row>
    <row r="390" spans="5:10">
      <c r="E390"/>
      <c r="J390"/>
    </row>
    <row r="391" spans="5:10">
      <c r="E391"/>
      <c r="J391"/>
    </row>
    <row r="392" spans="5:10">
      <c r="E392"/>
      <c r="J392"/>
    </row>
    <row r="393" spans="5:10">
      <c r="E393"/>
      <c r="J393"/>
    </row>
    <row r="394" spans="5:10">
      <c r="E394"/>
      <c r="J394"/>
    </row>
    <row r="395" spans="5:10">
      <c r="E395"/>
      <c r="J395"/>
    </row>
    <row r="396" spans="5:10">
      <c r="E396"/>
      <c r="J396"/>
    </row>
    <row r="397" spans="5:10">
      <c r="E397"/>
      <c r="J397"/>
    </row>
    <row r="398" spans="5:10">
      <c r="E398"/>
      <c r="J398"/>
    </row>
    <row r="399" spans="5:10">
      <c r="E399"/>
      <c r="J399"/>
    </row>
    <row r="400" spans="5:10">
      <c r="E400"/>
      <c r="J400"/>
    </row>
    <row r="401" spans="5:10">
      <c r="E401"/>
      <c r="J401"/>
    </row>
    <row r="402" spans="5:10">
      <c r="E402"/>
      <c r="J402"/>
    </row>
    <row r="403" spans="5:10">
      <c r="E403"/>
      <c r="J403"/>
    </row>
    <row r="404" spans="5:10">
      <c r="E404"/>
      <c r="J404"/>
    </row>
    <row r="405" spans="5:10">
      <c r="E405"/>
      <c r="J405"/>
    </row>
    <row r="406" spans="5:10">
      <c r="E406"/>
      <c r="J406"/>
    </row>
    <row r="407" spans="5:10">
      <c r="E407"/>
      <c r="J407"/>
    </row>
    <row r="408" spans="5:10">
      <c r="E408"/>
      <c r="J408"/>
    </row>
    <row r="409" spans="5:10">
      <c r="E409"/>
      <c r="J409"/>
    </row>
    <row r="410" spans="5:10">
      <c r="E410"/>
      <c r="J410"/>
    </row>
    <row r="411" spans="5:10">
      <c r="E411"/>
      <c r="J411"/>
    </row>
    <row r="412" spans="5:10">
      <c r="E412"/>
      <c r="J412"/>
    </row>
    <row r="413" spans="5:10">
      <c r="E413"/>
      <c r="J413"/>
    </row>
    <row r="414" spans="5:10">
      <c r="E414"/>
      <c r="J414"/>
    </row>
    <row r="415" spans="5:10">
      <c r="E415"/>
      <c r="J415"/>
    </row>
    <row r="416" spans="5:10">
      <c r="E416"/>
      <c r="J416"/>
    </row>
    <row r="417" spans="5:10">
      <c r="E417"/>
      <c r="J417"/>
    </row>
    <row r="418" spans="5:10">
      <c r="E418"/>
      <c r="J418"/>
    </row>
    <row r="419" spans="5:10">
      <c r="E419"/>
      <c r="J419"/>
    </row>
    <row r="420" spans="5:10">
      <c r="E420"/>
      <c r="J420"/>
    </row>
    <row r="421" spans="5:10">
      <c r="E421"/>
      <c r="J421"/>
    </row>
    <row r="422" spans="5:10">
      <c r="E422"/>
      <c r="J422"/>
    </row>
    <row r="423" spans="5:10">
      <c r="E423"/>
      <c r="J423"/>
    </row>
    <row r="424" spans="5:10">
      <c r="E424"/>
      <c r="J424"/>
    </row>
    <row r="425" spans="5:10">
      <c r="E425"/>
      <c r="J425"/>
    </row>
    <row r="426" spans="5:10">
      <c r="E426"/>
      <c r="J426"/>
    </row>
    <row r="427" spans="5:10">
      <c r="E427"/>
      <c r="J427"/>
    </row>
    <row r="428" spans="5:10">
      <c r="E428"/>
      <c r="J428"/>
    </row>
    <row r="429" spans="5:10">
      <c r="E429"/>
      <c r="J429"/>
    </row>
    <row r="430" spans="5:10">
      <c r="E430"/>
      <c r="J430"/>
    </row>
    <row r="431" spans="5:10">
      <c r="E431"/>
      <c r="J431"/>
    </row>
    <row r="432" spans="5:10">
      <c r="E432"/>
      <c r="J432"/>
    </row>
    <row r="433" spans="5:10">
      <c r="E433"/>
      <c r="J433"/>
    </row>
    <row r="434" spans="5:10">
      <c r="E434"/>
      <c r="J434"/>
    </row>
    <row r="435" spans="5:10">
      <c r="E435"/>
      <c r="J435"/>
    </row>
    <row r="436" spans="5:10">
      <c r="E436"/>
      <c r="J436"/>
    </row>
    <row r="437" spans="5:10">
      <c r="E437"/>
      <c r="J437"/>
    </row>
    <row r="438" spans="5:10">
      <c r="E438"/>
      <c r="J438"/>
    </row>
    <row r="439" spans="5:10">
      <c r="E439"/>
      <c r="J439"/>
    </row>
    <row r="440" spans="5:10">
      <c r="E440"/>
      <c r="J440"/>
    </row>
    <row r="441" spans="5:10">
      <c r="E441"/>
      <c r="J441"/>
    </row>
    <row r="442" spans="5:10">
      <c r="E442"/>
      <c r="J442"/>
    </row>
    <row r="443" spans="5:10">
      <c r="E443"/>
      <c r="J443"/>
    </row>
    <row r="444" spans="5:10">
      <c r="E444"/>
      <c r="J444"/>
    </row>
    <row r="445" spans="5:10">
      <c r="E445"/>
      <c r="J445"/>
    </row>
    <row r="446" spans="5:10">
      <c r="E446"/>
      <c r="J446"/>
    </row>
    <row r="447" spans="5:10">
      <c r="E447"/>
      <c r="J447"/>
    </row>
    <row r="448" spans="5:10">
      <c r="E448"/>
      <c r="J448"/>
    </row>
    <row r="449" spans="5:10">
      <c r="E449"/>
      <c r="J449"/>
    </row>
    <row r="450" spans="5:10">
      <c r="E450"/>
      <c r="J450"/>
    </row>
    <row r="451" spans="5:10">
      <c r="E451"/>
      <c r="J451"/>
    </row>
    <row r="452" spans="5:10">
      <c r="E452"/>
      <c r="J452"/>
    </row>
    <row r="453" spans="5:10">
      <c r="E453"/>
      <c r="J453"/>
    </row>
    <row r="454" spans="5:10">
      <c r="E454"/>
      <c r="J454"/>
    </row>
    <row r="455" spans="5:10">
      <c r="E455"/>
      <c r="J455"/>
    </row>
    <row r="456" spans="5:10">
      <c r="E456"/>
      <c r="J456"/>
    </row>
    <row r="457" spans="5:10">
      <c r="E457"/>
      <c r="J457"/>
    </row>
    <row r="458" spans="5:10">
      <c r="E458"/>
      <c r="J458"/>
    </row>
    <row r="459" spans="5:10">
      <c r="E459"/>
      <c r="J459"/>
    </row>
    <row r="460" spans="5:10">
      <c r="E460"/>
      <c r="J460"/>
    </row>
    <row r="461" spans="5:10">
      <c r="E461"/>
      <c r="J461"/>
    </row>
    <row r="462" spans="5:10">
      <c r="E462"/>
      <c r="J462"/>
    </row>
    <row r="463" spans="5:10">
      <c r="E463"/>
      <c r="J463"/>
    </row>
    <row r="464" spans="5:10">
      <c r="E464"/>
      <c r="J464"/>
    </row>
    <row r="465" spans="5:10">
      <c r="E465"/>
      <c r="J465"/>
    </row>
    <row r="466" spans="5:10">
      <c r="E466"/>
      <c r="J466"/>
    </row>
    <row r="467" spans="5:10">
      <c r="E467"/>
      <c r="J467"/>
    </row>
    <row r="468" spans="5:10">
      <c r="E468"/>
      <c r="J468"/>
    </row>
    <row r="469" spans="5:10">
      <c r="E469"/>
      <c r="J469"/>
    </row>
    <row r="470" spans="5:10">
      <c r="E470"/>
      <c r="J470"/>
    </row>
    <row r="471" spans="5:10">
      <c r="E471"/>
      <c r="J471"/>
    </row>
    <row r="472" spans="5:10">
      <c r="E472"/>
      <c r="J472"/>
    </row>
    <row r="473" spans="5:10">
      <c r="E473"/>
      <c r="J473"/>
    </row>
    <row r="474" spans="5:10">
      <c r="E474"/>
      <c r="J474"/>
    </row>
    <row r="475" spans="5:10">
      <c r="E475"/>
      <c r="J475"/>
    </row>
    <row r="476" spans="5:10">
      <c r="E476"/>
      <c r="J476"/>
    </row>
    <row r="477" spans="5:10">
      <c r="E477"/>
      <c r="J477"/>
    </row>
    <row r="478" spans="5:10">
      <c r="E478"/>
      <c r="J478"/>
    </row>
    <row r="479" spans="5:10">
      <c r="E479"/>
      <c r="J479"/>
    </row>
    <row r="480" spans="5:10">
      <c r="E480"/>
      <c r="J480"/>
    </row>
    <row r="481" spans="5:10">
      <c r="E481"/>
      <c r="J481"/>
    </row>
    <row r="482" spans="5:10">
      <c r="E482"/>
      <c r="J482"/>
    </row>
    <row r="483" spans="5:10">
      <c r="E483"/>
      <c r="J483"/>
    </row>
    <row r="484" spans="5:10">
      <c r="E484"/>
      <c r="J484"/>
    </row>
    <row r="485" spans="5:10">
      <c r="E485"/>
      <c r="J485"/>
    </row>
    <row r="486" spans="5:10">
      <c r="E486"/>
      <c r="J486"/>
    </row>
    <row r="487" spans="5:10">
      <c r="E487"/>
      <c r="J487"/>
    </row>
    <row r="488" spans="5:10">
      <c r="E488"/>
      <c r="J488"/>
    </row>
    <row r="489" spans="5:10">
      <c r="E489"/>
      <c r="J489"/>
    </row>
    <row r="490" spans="5:10">
      <c r="E490"/>
      <c r="J490"/>
    </row>
    <row r="491" spans="5:10">
      <c r="E491"/>
      <c r="J491"/>
    </row>
    <row r="492" spans="5:10">
      <c r="E492"/>
      <c r="J492"/>
    </row>
    <row r="493" spans="5:10">
      <c r="E493"/>
      <c r="J493"/>
    </row>
    <row r="494" spans="5:10">
      <c r="E494"/>
      <c r="J494"/>
    </row>
    <row r="495" spans="5:10">
      <c r="E495"/>
      <c r="J495"/>
    </row>
    <row r="496" spans="5:10">
      <c r="E496"/>
      <c r="J496"/>
    </row>
    <row r="497" spans="5:10">
      <c r="E497"/>
      <c r="J497"/>
    </row>
    <row r="498" spans="5:10">
      <c r="E498"/>
      <c r="J498"/>
    </row>
    <row r="499" spans="5:10">
      <c r="E499"/>
      <c r="J499"/>
    </row>
    <row r="500" spans="5:10">
      <c r="E500"/>
      <c r="J500"/>
    </row>
    <row r="501" spans="5:10">
      <c r="E501"/>
      <c r="J501"/>
    </row>
    <row r="502" spans="5:10">
      <c r="E502"/>
      <c r="J502"/>
    </row>
    <row r="503" spans="5:10">
      <c r="E503"/>
      <c r="J503"/>
    </row>
    <row r="504" spans="5:10">
      <c r="E504"/>
      <c r="J504"/>
    </row>
    <row r="505" spans="5:10">
      <c r="E505"/>
      <c r="J505"/>
    </row>
    <row r="506" spans="5:10">
      <c r="E506"/>
      <c r="J506"/>
    </row>
    <row r="507" spans="5:10">
      <c r="E507"/>
      <c r="J507"/>
    </row>
    <row r="508" spans="5:10">
      <c r="E508"/>
      <c r="J508"/>
    </row>
    <row r="509" spans="5:10">
      <c r="E509"/>
      <c r="J509"/>
    </row>
    <row r="510" spans="5:10">
      <c r="E510"/>
      <c r="J510"/>
    </row>
    <row r="511" spans="5:10">
      <c r="E511"/>
      <c r="J511"/>
    </row>
    <row r="512" spans="5:10">
      <c r="E512"/>
      <c r="J512"/>
    </row>
    <row r="513" spans="5:10">
      <c r="E513"/>
      <c r="J513"/>
    </row>
    <row r="514" spans="5:10">
      <c r="E514"/>
      <c r="J514"/>
    </row>
    <row r="515" spans="5:10">
      <c r="E515"/>
      <c r="J515"/>
    </row>
    <row r="516" spans="5:10">
      <c r="E516"/>
      <c r="J516"/>
    </row>
    <row r="517" spans="5:10">
      <c r="E517"/>
      <c r="J517"/>
    </row>
    <row r="518" spans="5:10">
      <c r="E518"/>
      <c r="J518"/>
    </row>
    <row r="519" spans="5:10">
      <c r="E519"/>
      <c r="J519"/>
    </row>
    <row r="520" spans="5:10">
      <c r="E520"/>
      <c r="J520"/>
    </row>
    <row r="521" spans="5:10">
      <c r="E521"/>
      <c r="J521"/>
    </row>
    <row r="522" spans="5:10">
      <c r="E522"/>
      <c r="J522"/>
    </row>
    <row r="523" spans="5:10">
      <c r="E523"/>
      <c r="J523"/>
    </row>
    <row r="524" spans="5:10">
      <c r="E524"/>
      <c r="J524"/>
    </row>
    <row r="525" spans="5:10">
      <c r="E525"/>
      <c r="J525"/>
    </row>
    <row r="526" spans="5:10">
      <c r="E526"/>
      <c r="J526"/>
    </row>
    <row r="527" spans="5:10">
      <c r="E527"/>
      <c r="J527"/>
    </row>
    <row r="528" spans="5:10">
      <c r="E528"/>
      <c r="J528"/>
    </row>
    <row r="529" spans="5:10">
      <c r="E529"/>
      <c r="J529"/>
    </row>
    <row r="530" spans="5:10">
      <c r="E530"/>
      <c r="J530"/>
    </row>
    <row r="531" spans="5:10">
      <c r="E531"/>
      <c r="J531"/>
    </row>
    <row r="532" spans="5:10">
      <c r="E532"/>
      <c r="J532"/>
    </row>
    <row r="533" spans="5:10">
      <c r="E533"/>
      <c r="J533"/>
    </row>
    <row r="534" spans="5:10">
      <c r="E534"/>
      <c r="J534"/>
    </row>
    <row r="535" spans="5:10">
      <c r="E535"/>
      <c r="J535"/>
    </row>
    <row r="536" spans="5:10">
      <c r="E536"/>
      <c r="J536"/>
    </row>
    <row r="537" spans="5:10">
      <c r="E537"/>
      <c r="J537"/>
    </row>
    <row r="538" spans="5:10">
      <c r="E538"/>
      <c r="J538"/>
    </row>
    <row r="539" spans="5:10">
      <c r="E539"/>
      <c r="J539"/>
    </row>
    <row r="540" spans="5:10">
      <c r="E540"/>
      <c r="J540"/>
    </row>
    <row r="541" spans="5:10">
      <c r="E541"/>
      <c r="J541"/>
    </row>
    <row r="542" spans="5:10">
      <c r="E542"/>
      <c r="J542"/>
    </row>
    <row r="543" spans="5:10">
      <c r="E543"/>
      <c r="J543"/>
    </row>
    <row r="544" spans="5:10">
      <c r="E544"/>
      <c r="J544"/>
    </row>
    <row r="545" spans="5:10">
      <c r="E545"/>
      <c r="J545"/>
    </row>
    <row r="546" spans="5:10">
      <c r="E546"/>
      <c r="J546"/>
    </row>
    <row r="547" spans="5:10">
      <c r="E547"/>
      <c r="J547"/>
    </row>
    <row r="548" spans="5:10">
      <c r="E548"/>
      <c r="J548"/>
    </row>
    <row r="549" spans="5:10">
      <c r="E549"/>
      <c r="J549"/>
    </row>
    <row r="550" spans="5:10">
      <c r="E550"/>
      <c r="J550"/>
    </row>
    <row r="551" spans="5:10">
      <c r="E551"/>
      <c r="J551"/>
    </row>
    <row r="552" spans="5:10">
      <c r="E552"/>
      <c r="J552"/>
    </row>
    <row r="553" spans="5:10">
      <c r="E553"/>
      <c r="J553"/>
    </row>
    <row r="554" spans="5:10">
      <c r="E554"/>
      <c r="J554"/>
    </row>
    <row r="555" spans="5:10">
      <c r="E555"/>
      <c r="J555"/>
    </row>
    <row r="556" spans="5:10">
      <c r="E556"/>
      <c r="J556"/>
    </row>
    <row r="557" spans="5:10">
      <c r="E557"/>
      <c r="J557"/>
    </row>
    <row r="558" spans="5:10">
      <c r="E558"/>
      <c r="J558"/>
    </row>
    <row r="559" spans="5:10">
      <c r="E559"/>
      <c r="J559"/>
    </row>
    <row r="560" spans="5:10">
      <c r="E560"/>
      <c r="J560"/>
    </row>
    <row r="561" spans="5:10">
      <c r="E561"/>
      <c r="J561"/>
    </row>
    <row r="562" spans="5:10">
      <c r="E562"/>
      <c r="J562"/>
    </row>
    <row r="563" spans="5:10">
      <c r="E563"/>
      <c r="J563"/>
    </row>
    <row r="564" spans="5:10">
      <c r="E564"/>
      <c r="J564"/>
    </row>
    <row r="565" spans="5:10">
      <c r="E565"/>
      <c r="J565"/>
    </row>
    <row r="566" spans="5:10">
      <c r="E566"/>
      <c r="J566"/>
    </row>
    <row r="567" spans="5:10">
      <c r="E567"/>
      <c r="J567"/>
    </row>
    <row r="568" spans="5:10">
      <c r="E568"/>
      <c r="J568"/>
    </row>
    <row r="569" spans="5:10">
      <c r="E569"/>
      <c r="J569"/>
    </row>
    <row r="570" spans="5:10">
      <c r="E570"/>
      <c r="J570"/>
    </row>
    <row r="571" spans="5:10">
      <c r="E571"/>
      <c r="J571"/>
    </row>
    <row r="572" spans="5:10">
      <c r="E572"/>
      <c r="J572"/>
    </row>
    <row r="573" spans="5:10">
      <c r="E573"/>
      <c r="J573"/>
    </row>
    <row r="574" spans="5:10">
      <c r="E574"/>
      <c r="J574"/>
    </row>
    <row r="575" spans="5:10">
      <c r="E575"/>
      <c r="J575"/>
    </row>
    <row r="576" spans="5:10">
      <c r="E576"/>
      <c r="J576"/>
    </row>
    <row r="577" spans="5:10">
      <c r="E577"/>
      <c r="J577"/>
    </row>
    <row r="578" spans="5:10">
      <c r="E578"/>
      <c r="J578"/>
    </row>
    <row r="579" spans="5:10">
      <c r="E579"/>
      <c r="J579"/>
    </row>
    <row r="580" spans="5:10">
      <c r="E580"/>
      <c r="J580"/>
    </row>
    <row r="581" spans="5:10">
      <c r="E581"/>
      <c r="J581"/>
    </row>
    <row r="582" spans="5:10">
      <c r="E582"/>
      <c r="J582"/>
    </row>
    <row r="583" spans="5:10">
      <c r="E583"/>
      <c r="J583"/>
    </row>
    <row r="584" spans="5:10">
      <c r="E584"/>
      <c r="J584"/>
    </row>
    <row r="585" spans="5:10">
      <c r="E585"/>
      <c r="J585"/>
    </row>
    <row r="586" spans="5:10">
      <c r="E586"/>
      <c r="J586"/>
    </row>
    <row r="587" spans="5:10">
      <c r="E587"/>
      <c r="J587"/>
    </row>
    <row r="588" spans="5:10">
      <c r="E588"/>
      <c r="J588"/>
    </row>
    <row r="589" spans="5:10">
      <c r="E589"/>
      <c r="J589"/>
    </row>
    <row r="590" spans="5:10">
      <c r="E590"/>
      <c r="J590"/>
    </row>
    <row r="591" spans="5:10">
      <c r="E591"/>
      <c r="J591"/>
    </row>
    <row r="592" spans="5:10">
      <c r="E592"/>
      <c r="J592"/>
    </row>
    <row r="593" spans="5:10">
      <c r="E593"/>
      <c r="J593"/>
    </row>
    <row r="594" spans="5:10">
      <c r="E594"/>
      <c r="J594"/>
    </row>
    <row r="595" spans="5:10">
      <c r="E595"/>
      <c r="J595"/>
    </row>
    <row r="596" spans="5:10">
      <c r="E596"/>
      <c r="J596"/>
    </row>
    <row r="597" spans="5:10">
      <c r="E597"/>
      <c r="J597"/>
    </row>
    <row r="598" spans="5:10">
      <c r="E598"/>
      <c r="J598"/>
    </row>
    <row r="599" spans="5:10">
      <c r="E599"/>
      <c r="J599"/>
    </row>
    <row r="600" spans="5:10">
      <c r="E600"/>
      <c r="J600"/>
    </row>
    <row r="601" spans="5:10">
      <c r="E601"/>
      <c r="J601"/>
    </row>
    <row r="602" spans="5:10">
      <c r="E602"/>
      <c r="J602"/>
    </row>
    <row r="603" spans="5:10">
      <c r="E603"/>
      <c r="J603"/>
    </row>
    <row r="604" spans="5:10">
      <c r="E604"/>
      <c r="J604"/>
    </row>
    <row r="605" spans="5:10">
      <c r="E605"/>
      <c r="J605"/>
    </row>
    <row r="606" spans="5:10">
      <c r="E606"/>
      <c r="J606"/>
    </row>
    <row r="607" spans="5:10">
      <c r="E607"/>
      <c r="J607"/>
    </row>
    <row r="608" spans="5:10">
      <c r="E608"/>
      <c r="J608"/>
    </row>
    <row r="609" spans="5:10">
      <c r="E609"/>
      <c r="J609"/>
    </row>
    <row r="610" spans="5:10">
      <c r="E610"/>
      <c r="J610"/>
    </row>
    <row r="611" spans="5:10">
      <c r="E611"/>
      <c r="J611"/>
    </row>
    <row r="612" spans="5:10">
      <c r="E612"/>
      <c r="J612"/>
    </row>
    <row r="613" spans="5:10">
      <c r="E613"/>
      <c r="J613"/>
    </row>
    <row r="614" spans="5:10">
      <c r="E614"/>
      <c r="J614"/>
    </row>
    <row r="615" spans="5:10">
      <c r="E615"/>
      <c r="J615"/>
    </row>
    <row r="616" spans="5:10">
      <c r="E616"/>
      <c r="J616"/>
    </row>
    <row r="617" spans="5:10">
      <c r="E617"/>
      <c r="J617"/>
    </row>
    <row r="618" spans="5:10">
      <c r="E618"/>
      <c r="J618"/>
    </row>
    <row r="619" spans="5:10">
      <c r="E619"/>
      <c r="J619"/>
    </row>
    <row r="620" spans="5:10">
      <c r="E620"/>
      <c r="J620"/>
    </row>
    <row r="621" spans="5:10">
      <c r="E621"/>
      <c r="J621"/>
    </row>
    <row r="622" spans="5:10">
      <c r="E622"/>
      <c r="J622"/>
    </row>
    <row r="623" spans="5:10">
      <c r="E623"/>
      <c r="J623"/>
    </row>
    <row r="624" spans="5:10">
      <c r="E624"/>
      <c r="J624"/>
    </row>
    <row r="625" spans="5:10">
      <c r="E625"/>
      <c r="J625"/>
    </row>
    <row r="626" spans="5:10">
      <c r="E626"/>
      <c r="J626"/>
    </row>
    <row r="627" spans="5:10">
      <c r="E627"/>
      <c r="J627"/>
    </row>
    <row r="628" spans="5:10">
      <c r="E628"/>
      <c r="J628"/>
    </row>
    <row r="629" spans="5:10">
      <c r="E629"/>
      <c r="J629"/>
    </row>
    <row r="630" spans="5:10">
      <c r="E630"/>
      <c r="J630"/>
    </row>
    <row r="631" spans="5:10">
      <c r="E631"/>
      <c r="J631"/>
    </row>
    <row r="632" spans="5:10">
      <c r="E632"/>
      <c r="J632"/>
    </row>
    <row r="633" spans="5:10">
      <c r="E633"/>
      <c r="J633"/>
    </row>
    <row r="634" spans="5:10">
      <c r="E634"/>
      <c r="J634"/>
    </row>
    <row r="635" spans="5:10">
      <c r="E635"/>
      <c r="J635"/>
    </row>
    <row r="636" spans="5:10">
      <c r="E636"/>
      <c r="J636"/>
    </row>
    <row r="637" spans="5:10">
      <c r="E637"/>
      <c r="J637"/>
    </row>
    <row r="638" spans="5:10">
      <c r="E638"/>
      <c r="J638"/>
    </row>
    <row r="639" spans="5:10">
      <c r="E639"/>
      <c r="J639"/>
    </row>
    <row r="640" spans="5:10">
      <c r="E640"/>
      <c r="J640"/>
    </row>
    <row r="641" spans="5:10">
      <c r="E641"/>
      <c r="J641"/>
    </row>
    <row r="642" spans="5:10">
      <c r="E642"/>
      <c r="J642"/>
    </row>
    <row r="643" spans="5:10">
      <c r="E643"/>
      <c r="J643"/>
    </row>
    <row r="644" spans="5:10">
      <c r="E644"/>
      <c r="J644"/>
    </row>
    <row r="645" spans="5:10">
      <c r="E645"/>
      <c r="J645"/>
    </row>
    <row r="646" spans="5:10">
      <c r="E646"/>
      <c r="J646"/>
    </row>
    <row r="647" spans="5:10">
      <c r="E647"/>
      <c r="J647"/>
    </row>
    <row r="648" spans="5:10">
      <c r="E648"/>
      <c r="J648"/>
    </row>
    <row r="649" spans="5:10">
      <c r="E649"/>
      <c r="J649"/>
    </row>
    <row r="650" spans="5:10">
      <c r="E650"/>
      <c r="J650"/>
    </row>
    <row r="651" spans="5:10">
      <c r="E651"/>
      <c r="J651"/>
    </row>
    <row r="652" spans="5:10">
      <c r="E652"/>
      <c r="J652"/>
    </row>
    <row r="653" spans="5:10">
      <c r="E653"/>
      <c r="J653"/>
    </row>
    <row r="654" spans="5:10">
      <c r="E654"/>
      <c r="J654"/>
    </row>
    <row r="655" spans="5:10">
      <c r="E655"/>
      <c r="J655"/>
    </row>
    <row r="656" spans="5:10">
      <c r="E656"/>
      <c r="J656"/>
    </row>
    <row r="657" spans="5:10">
      <c r="E657"/>
      <c r="J657"/>
    </row>
    <row r="658" spans="5:10">
      <c r="E658"/>
      <c r="J658"/>
    </row>
    <row r="659" spans="5:10">
      <c r="E659"/>
      <c r="J659"/>
    </row>
    <row r="660" spans="5:10">
      <c r="E660"/>
      <c r="J660"/>
    </row>
    <row r="661" spans="5:10">
      <c r="E661"/>
      <c r="J661"/>
    </row>
    <row r="662" spans="5:10">
      <c r="E662"/>
      <c r="J662"/>
    </row>
    <row r="663" spans="5:10">
      <c r="E663"/>
      <c r="J663"/>
    </row>
    <row r="664" spans="5:10">
      <c r="E664"/>
      <c r="J664"/>
    </row>
    <row r="665" spans="5:10">
      <c r="E665"/>
      <c r="J665"/>
    </row>
    <row r="666" spans="5:10">
      <c r="E666"/>
      <c r="J666"/>
    </row>
    <row r="667" spans="5:10">
      <c r="E667"/>
      <c r="J667"/>
    </row>
    <row r="668" spans="5:10">
      <c r="E668"/>
      <c r="J668"/>
    </row>
    <row r="669" spans="5:10">
      <c r="E669"/>
      <c r="J669"/>
    </row>
    <row r="670" spans="5:10">
      <c r="E670"/>
      <c r="J670"/>
    </row>
    <row r="671" spans="5:10">
      <c r="E671"/>
      <c r="J671"/>
    </row>
    <row r="672" spans="5:10">
      <c r="E672"/>
      <c r="J672"/>
    </row>
    <row r="673" spans="5:10">
      <c r="E673"/>
      <c r="J673"/>
    </row>
    <row r="674" spans="5:10">
      <c r="E674"/>
      <c r="J674"/>
    </row>
    <row r="675" spans="5:10">
      <c r="E675"/>
      <c r="J675"/>
    </row>
    <row r="676" spans="5:10">
      <c r="E676"/>
      <c r="J676"/>
    </row>
    <row r="677" spans="5:10">
      <c r="E677"/>
      <c r="J677"/>
    </row>
    <row r="678" spans="5:10">
      <c r="E678"/>
      <c r="J678"/>
    </row>
    <row r="679" spans="5:10">
      <c r="E679"/>
      <c r="J679"/>
    </row>
    <row r="680" spans="5:10">
      <c r="E680"/>
      <c r="J680"/>
    </row>
    <row r="681" spans="5:10">
      <c r="E681"/>
      <c r="J681"/>
    </row>
    <row r="682" spans="5:10">
      <c r="E682"/>
      <c r="J682"/>
    </row>
    <row r="683" spans="5:10">
      <c r="E683"/>
      <c r="J683"/>
    </row>
    <row r="684" spans="5:10">
      <c r="E684"/>
      <c r="J684"/>
    </row>
    <row r="685" spans="5:10">
      <c r="E685"/>
      <c r="J685"/>
    </row>
    <row r="686" spans="5:10">
      <c r="E686"/>
      <c r="J686"/>
    </row>
    <row r="687" spans="5:10">
      <c r="E687"/>
      <c r="J687"/>
    </row>
    <row r="688" spans="5:10">
      <c r="E688"/>
      <c r="J688"/>
    </row>
    <row r="689" spans="5:10">
      <c r="E689"/>
      <c r="J689"/>
    </row>
    <row r="690" spans="5:10">
      <c r="E690"/>
      <c r="J690"/>
    </row>
    <row r="691" spans="5:10">
      <c r="E691"/>
      <c r="J691"/>
    </row>
    <row r="692" spans="5:10">
      <c r="E692"/>
      <c r="J692"/>
    </row>
    <row r="693" spans="5:10">
      <c r="E693"/>
      <c r="J693"/>
    </row>
    <row r="694" spans="5:10">
      <c r="E694"/>
      <c r="J694"/>
    </row>
    <row r="695" spans="5:10">
      <c r="E695"/>
      <c r="J695"/>
    </row>
    <row r="696" spans="5:10">
      <c r="E696"/>
      <c r="J696"/>
    </row>
    <row r="697" spans="5:10">
      <c r="E697"/>
      <c r="J697"/>
    </row>
    <row r="698" spans="5:10">
      <c r="E698"/>
      <c r="J698"/>
    </row>
    <row r="699" spans="5:10">
      <c r="E699"/>
      <c r="J699"/>
    </row>
    <row r="700" spans="5:10">
      <c r="E700"/>
      <c r="J700"/>
    </row>
    <row r="701" spans="5:10">
      <c r="E701"/>
      <c r="J701"/>
    </row>
    <row r="702" spans="5:10">
      <c r="E702"/>
      <c r="J702"/>
    </row>
    <row r="703" spans="5:10">
      <c r="E703"/>
      <c r="J703"/>
    </row>
    <row r="704" spans="5:10">
      <c r="E704"/>
      <c r="J704"/>
    </row>
    <row r="705" spans="5:10">
      <c r="E705"/>
      <c r="J705"/>
    </row>
    <row r="706" spans="5:10">
      <c r="E706"/>
      <c r="J706"/>
    </row>
    <row r="707" spans="5:10">
      <c r="E707"/>
      <c r="J707"/>
    </row>
    <row r="708" spans="5:10">
      <c r="E708"/>
      <c r="J708"/>
    </row>
    <row r="709" spans="5:10">
      <c r="E709"/>
      <c r="J709"/>
    </row>
    <row r="710" spans="5:10">
      <c r="E710"/>
      <c r="J710"/>
    </row>
    <row r="711" spans="5:10">
      <c r="E711"/>
      <c r="J711"/>
    </row>
    <row r="712" spans="5:10">
      <c r="E712"/>
      <c r="J712"/>
    </row>
    <row r="713" spans="5:10">
      <c r="E713"/>
      <c r="J713"/>
    </row>
    <row r="714" spans="5:10">
      <c r="E714"/>
      <c r="J714"/>
    </row>
    <row r="715" spans="5:10">
      <c r="E715"/>
      <c r="J715"/>
    </row>
    <row r="716" spans="5:10">
      <c r="E716"/>
      <c r="J716"/>
    </row>
    <row r="717" spans="5:10">
      <c r="E717"/>
      <c r="J717"/>
    </row>
    <row r="718" spans="5:10">
      <c r="E718"/>
      <c r="J718"/>
    </row>
    <row r="719" spans="5:10">
      <c r="E719"/>
      <c r="J719"/>
    </row>
    <row r="720" spans="5:10">
      <c r="E720"/>
      <c r="J720"/>
    </row>
    <row r="721" spans="5:10">
      <c r="E721"/>
      <c r="J721"/>
    </row>
    <row r="722" spans="5:10">
      <c r="E722"/>
      <c r="J722"/>
    </row>
    <row r="723" spans="5:10">
      <c r="E723"/>
      <c r="J723"/>
    </row>
    <row r="724" spans="5:10">
      <c r="E724"/>
      <c r="J724"/>
    </row>
    <row r="725" spans="5:10">
      <c r="E725"/>
      <c r="J725"/>
    </row>
    <row r="726" spans="5:10">
      <c r="E726"/>
      <c r="J726"/>
    </row>
    <row r="727" spans="5:10">
      <c r="E727"/>
      <c r="J727"/>
    </row>
    <row r="728" spans="5:10">
      <c r="E728"/>
      <c r="J728"/>
    </row>
    <row r="729" spans="5:10">
      <c r="E729"/>
      <c r="J729"/>
    </row>
    <row r="730" spans="5:10">
      <c r="E730"/>
      <c r="J730"/>
    </row>
    <row r="731" spans="5:10">
      <c r="E731"/>
      <c r="J731"/>
    </row>
    <row r="732" spans="5:10">
      <c r="E732"/>
      <c r="J732"/>
    </row>
    <row r="733" spans="5:10">
      <c r="E733"/>
      <c r="J733"/>
    </row>
    <row r="734" spans="5:10">
      <c r="E734"/>
      <c r="J734"/>
    </row>
    <row r="735" spans="5:10">
      <c r="E735"/>
      <c r="J735"/>
    </row>
    <row r="736" spans="5:10">
      <c r="E736"/>
      <c r="J736"/>
    </row>
    <row r="737" spans="5:10">
      <c r="E737"/>
      <c r="J737"/>
    </row>
    <row r="738" spans="5:10">
      <c r="E738"/>
      <c r="J738"/>
    </row>
    <row r="739" spans="5:10">
      <c r="E739"/>
      <c r="J739"/>
    </row>
    <row r="740" spans="5:10">
      <c r="E740"/>
      <c r="J740"/>
    </row>
    <row r="741" spans="5:10">
      <c r="E741"/>
      <c r="J741"/>
    </row>
    <row r="742" spans="5:10">
      <c r="E742"/>
      <c r="J742"/>
    </row>
    <row r="743" spans="5:10">
      <c r="E743"/>
      <c r="J743"/>
    </row>
    <row r="744" spans="5:10">
      <c r="E744"/>
      <c r="J744"/>
    </row>
    <row r="745" spans="5:10">
      <c r="E745"/>
      <c r="J745"/>
    </row>
    <row r="746" spans="5:10">
      <c r="E746"/>
      <c r="J746"/>
    </row>
    <row r="747" spans="5:10">
      <c r="E747"/>
      <c r="J747"/>
    </row>
    <row r="748" spans="5:10">
      <c r="E748"/>
      <c r="J748"/>
    </row>
    <row r="749" spans="5:10">
      <c r="E749"/>
      <c r="J749"/>
    </row>
    <row r="750" spans="5:10">
      <c r="E750"/>
      <c r="J750"/>
    </row>
    <row r="751" spans="5:10">
      <c r="E751"/>
      <c r="J751"/>
    </row>
    <row r="752" spans="5:10">
      <c r="E752"/>
      <c r="J752"/>
    </row>
    <row r="753" spans="5:10">
      <c r="E753"/>
      <c r="J753"/>
    </row>
    <row r="754" spans="5:10">
      <c r="E754"/>
      <c r="J754"/>
    </row>
    <row r="755" spans="5:10">
      <c r="E755"/>
      <c r="J755"/>
    </row>
    <row r="756" spans="5:10">
      <c r="E756"/>
      <c r="J756"/>
    </row>
    <row r="757" spans="5:10">
      <c r="E757"/>
      <c r="J757"/>
    </row>
    <row r="758" spans="5:10">
      <c r="E758"/>
      <c r="J758"/>
    </row>
    <row r="759" spans="5:10">
      <c r="E759"/>
      <c r="J759"/>
    </row>
    <row r="760" spans="5:10">
      <c r="E760"/>
      <c r="J760"/>
    </row>
    <row r="761" spans="5:10">
      <c r="E761"/>
      <c r="J761"/>
    </row>
    <row r="762" spans="5:10">
      <c r="E762"/>
      <c r="J762"/>
    </row>
    <row r="763" spans="5:10">
      <c r="E763"/>
      <c r="J763"/>
    </row>
    <row r="764" spans="5:10">
      <c r="E764"/>
      <c r="J764"/>
    </row>
    <row r="765" spans="5:10">
      <c r="E765"/>
      <c r="J765"/>
    </row>
    <row r="766" spans="5:10">
      <c r="E766"/>
      <c r="J766"/>
    </row>
    <row r="767" spans="5:10">
      <c r="E767"/>
      <c r="J767"/>
    </row>
    <row r="768" spans="5:10">
      <c r="E768"/>
      <c r="J768"/>
    </row>
    <row r="769" spans="5:10">
      <c r="E769"/>
      <c r="J769"/>
    </row>
    <row r="770" spans="5:10">
      <c r="E770"/>
      <c r="J770"/>
    </row>
    <row r="771" spans="5:10">
      <c r="E771"/>
      <c r="J771"/>
    </row>
    <row r="772" spans="5:10">
      <c r="E772"/>
      <c r="J772"/>
    </row>
    <row r="773" spans="5:10">
      <c r="E773"/>
      <c r="J773"/>
    </row>
    <row r="774" spans="5:10">
      <c r="E774"/>
      <c r="J774"/>
    </row>
    <row r="775" spans="5:10">
      <c r="E775"/>
      <c r="J775"/>
    </row>
    <row r="776" spans="5:10">
      <c r="E776"/>
      <c r="J776"/>
    </row>
    <row r="777" spans="5:10">
      <c r="E777"/>
      <c r="J777"/>
    </row>
    <row r="778" spans="5:10">
      <c r="E778"/>
      <c r="J778"/>
    </row>
    <row r="779" spans="5:10">
      <c r="E779"/>
      <c r="J779"/>
    </row>
    <row r="780" spans="5:10">
      <c r="E780"/>
      <c r="J780"/>
    </row>
    <row r="781" spans="5:10">
      <c r="E781"/>
      <c r="J781"/>
    </row>
    <row r="782" spans="5:10">
      <c r="E782"/>
      <c r="J782"/>
    </row>
    <row r="783" spans="5:10">
      <c r="E783"/>
      <c r="J783"/>
    </row>
    <row r="784" spans="5:10">
      <c r="E784"/>
      <c r="J784"/>
    </row>
    <row r="785" spans="5:10">
      <c r="E785"/>
      <c r="J785"/>
    </row>
    <row r="786" spans="5:10">
      <c r="E786"/>
      <c r="J786"/>
    </row>
    <row r="787" spans="5:10">
      <c r="E787"/>
      <c r="J787"/>
    </row>
    <row r="788" spans="5:10">
      <c r="E788"/>
      <c r="J788"/>
    </row>
    <row r="789" spans="5:10">
      <c r="E789"/>
      <c r="J789"/>
    </row>
    <row r="790" spans="5:10">
      <c r="E790"/>
      <c r="J790"/>
    </row>
    <row r="791" spans="5:10">
      <c r="E791"/>
      <c r="J791"/>
    </row>
    <row r="792" spans="5:10">
      <c r="E792"/>
      <c r="J792"/>
    </row>
    <row r="793" spans="5:10">
      <c r="E793"/>
      <c r="J793"/>
    </row>
    <row r="794" spans="5:10">
      <c r="E794"/>
      <c r="J794"/>
    </row>
    <row r="795" spans="5:10">
      <c r="E795"/>
      <c r="J795"/>
    </row>
    <row r="796" spans="5:10">
      <c r="E796"/>
      <c r="J796"/>
    </row>
    <row r="797" spans="5:10">
      <c r="E797"/>
      <c r="J797"/>
    </row>
    <row r="798" spans="5:10">
      <c r="E798"/>
      <c r="J798"/>
    </row>
    <row r="799" spans="5:10">
      <c r="E799"/>
      <c r="J799"/>
    </row>
    <row r="800" spans="5:10">
      <c r="E800"/>
      <c r="J800"/>
    </row>
    <row r="801" spans="5:10">
      <c r="E801"/>
      <c r="J801"/>
    </row>
    <row r="802" spans="5:10">
      <c r="E802"/>
      <c r="J802"/>
    </row>
    <row r="803" spans="5:10">
      <c r="E803"/>
      <c r="J803"/>
    </row>
    <row r="804" spans="5:10">
      <c r="E804"/>
      <c r="J804"/>
    </row>
    <row r="805" spans="5:10">
      <c r="E805"/>
      <c r="J805"/>
    </row>
    <row r="806" spans="5:10">
      <c r="E806"/>
      <c r="J806"/>
    </row>
    <row r="807" spans="5:10">
      <c r="E807"/>
      <c r="J807"/>
    </row>
    <row r="808" spans="5:10">
      <c r="E808"/>
      <c r="J808"/>
    </row>
    <row r="809" spans="5:10">
      <c r="E809"/>
      <c r="J809"/>
    </row>
    <row r="810" spans="5:10">
      <c r="E810"/>
      <c r="J810"/>
    </row>
    <row r="811" spans="5:10">
      <c r="E811"/>
      <c r="J811"/>
    </row>
    <row r="812" spans="5:10">
      <c r="E812"/>
      <c r="J812"/>
    </row>
    <row r="813" spans="5:10">
      <c r="E813"/>
      <c r="J813"/>
    </row>
    <row r="814" spans="5:10">
      <c r="E814"/>
      <c r="J814"/>
    </row>
    <row r="815" spans="5:10">
      <c r="E815"/>
      <c r="J815"/>
    </row>
    <row r="816" spans="5:10">
      <c r="E816"/>
      <c r="J816"/>
    </row>
    <row r="817" spans="5:10">
      <c r="E817"/>
      <c r="J817"/>
    </row>
    <row r="818" spans="5:10">
      <c r="E818"/>
      <c r="J818"/>
    </row>
    <row r="819" spans="5:10">
      <c r="E819"/>
      <c r="J819"/>
    </row>
    <row r="820" spans="5:10">
      <c r="E820"/>
      <c r="J820"/>
    </row>
    <row r="821" spans="5:10">
      <c r="E821"/>
      <c r="J821"/>
    </row>
    <row r="822" spans="5:10">
      <c r="E822"/>
      <c r="J822"/>
    </row>
    <row r="823" spans="5:10">
      <c r="E823"/>
      <c r="J823"/>
    </row>
    <row r="824" spans="5:10">
      <c r="E824"/>
      <c r="J824"/>
    </row>
    <row r="825" spans="5:10">
      <c r="E825"/>
      <c r="J825"/>
    </row>
    <row r="826" spans="5:10">
      <c r="E826"/>
      <c r="J826"/>
    </row>
    <row r="827" spans="5:10">
      <c r="E827"/>
      <c r="J827"/>
    </row>
    <row r="828" spans="5:10">
      <c r="E828"/>
      <c r="J828"/>
    </row>
    <row r="829" spans="5:10">
      <c r="E829"/>
      <c r="J829"/>
    </row>
    <row r="830" spans="5:10">
      <c r="E830"/>
      <c r="J830"/>
    </row>
    <row r="831" spans="5:10">
      <c r="E831"/>
      <c r="J831"/>
    </row>
    <row r="832" spans="5:10">
      <c r="E832"/>
      <c r="J832"/>
    </row>
    <row r="833" spans="5:10">
      <c r="E833"/>
      <c r="J833"/>
    </row>
    <row r="834" spans="5:10">
      <c r="E834"/>
      <c r="J834"/>
    </row>
    <row r="835" spans="5:10">
      <c r="E835"/>
      <c r="J835"/>
    </row>
    <row r="836" spans="5:10">
      <c r="E836"/>
      <c r="J836"/>
    </row>
    <row r="837" spans="5:10">
      <c r="E837"/>
      <c r="J837"/>
    </row>
    <row r="838" spans="5:10">
      <c r="E838"/>
      <c r="J838"/>
    </row>
    <row r="839" spans="5:10">
      <c r="E839"/>
      <c r="J839"/>
    </row>
    <row r="840" spans="5:10">
      <c r="E840"/>
      <c r="J840"/>
    </row>
    <row r="841" spans="5:10">
      <c r="E841"/>
      <c r="J841"/>
    </row>
    <row r="842" spans="5:10">
      <c r="E842"/>
      <c r="J842"/>
    </row>
    <row r="843" spans="5:10">
      <c r="E843"/>
      <c r="J843"/>
    </row>
    <row r="844" spans="5:10">
      <c r="E844"/>
      <c r="J844"/>
    </row>
    <row r="845" spans="5:10">
      <c r="E845"/>
      <c r="J845"/>
    </row>
    <row r="846" spans="5:10">
      <c r="E846"/>
      <c r="J846"/>
    </row>
    <row r="847" spans="5:10">
      <c r="E847"/>
      <c r="J847"/>
    </row>
    <row r="848" spans="5:10">
      <c r="E848"/>
      <c r="J848"/>
    </row>
    <row r="849" spans="5:10">
      <c r="E849"/>
      <c r="J849"/>
    </row>
    <row r="850" spans="5:10">
      <c r="E850"/>
      <c r="J850"/>
    </row>
    <row r="851" spans="5:10">
      <c r="E851"/>
      <c r="J851"/>
    </row>
    <row r="852" spans="5:10">
      <c r="E852"/>
      <c r="J852"/>
    </row>
    <row r="853" spans="5:10">
      <c r="E853"/>
      <c r="J853"/>
    </row>
    <row r="854" spans="5:10">
      <c r="E854"/>
      <c r="J854"/>
    </row>
    <row r="855" spans="5:10">
      <c r="E855"/>
      <c r="J855"/>
    </row>
    <row r="856" spans="5:10">
      <c r="E856"/>
      <c r="J856"/>
    </row>
    <row r="857" spans="5:10">
      <c r="E857"/>
      <c r="J857"/>
    </row>
    <row r="858" spans="5:10">
      <c r="E858"/>
      <c r="J858"/>
    </row>
    <row r="859" spans="5:10">
      <c r="E859"/>
      <c r="J859"/>
    </row>
    <row r="860" spans="5:10">
      <c r="E860"/>
      <c r="J860"/>
    </row>
    <row r="861" spans="5:10">
      <c r="E861"/>
      <c r="J861"/>
    </row>
    <row r="862" spans="5:10">
      <c r="E862"/>
      <c r="J862"/>
    </row>
    <row r="863" spans="5:10">
      <c r="E863"/>
      <c r="J863"/>
    </row>
    <row r="864" spans="5:10">
      <c r="E864"/>
      <c r="J864"/>
    </row>
    <row r="865" spans="5:10">
      <c r="E865"/>
      <c r="J865"/>
    </row>
    <row r="866" spans="5:10">
      <c r="E866"/>
      <c r="J866"/>
    </row>
    <row r="867" spans="5:10">
      <c r="E867"/>
      <c r="J867"/>
    </row>
    <row r="868" spans="5:10">
      <c r="E868"/>
      <c r="J868"/>
    </row>
    <row r="869" spans="5:10">
      <c r="E869"/>
      <c r="J869"/>
    </row>
    <row r="870" spans="5:10">
      <c r="E870"/>
      <c r="J870"/>
    </row>
    <row r="871" spans="5:10">
      <c r="E871"/>
      <c r="J871"/>
    </row>
    <row r="872" spans="5:10">
      <c r="E872"/>
      <c r="J872"/>
    </row>
    <row r="873" spans="5:10">
      <c r="E873"/>
      <c r="J873"/>
    </row>
    <row r="874" spans="5:10">
      <c r="E874"/>
      <c r="J874"/>
    </row>
    <row r="875" spans="5:10">
      <c r="E875"/>
      <c r="J875"/>
    </row>
    <row r="876" spans="5:10">
      <c r="E876"/>
      <c r="J876"/>
    </row>
    <row r="877" spans="5:10">
      <c r="E877"/>
      <c r="J877"/>
    </row>
    <row r="878" spans="5:10">
      <c r="E878"/>
      <c r="J878"/>
    </row>
    <row r="879" spans="5:10">
      <c r="E879"/>
      <c r="J879"/>
    </row>
    <row r="880" spans="5:10">
      <c r="E880"/>
      <c r="J880"/>
    </row>
    <row r="881" spans="5:10">
      <c r="E881"/>
      <c r="J881"/>
    </row>
    <row r="882" spans="5:10">
      <c r="E882"/>
      <c r="J882"/>
    </row>
    <row r="883" spans="5:10">
      <c r="E883"/>
      <c r="J883"/>
    </row>
    <row r="884" spans="5:10">
      <c r="E884"/>
      <c r="J884"/>
    </row>
    <row r="885" spans="5:10">
      <c r="E885"/>
      <c r="J885"/>
    </row>
    <row r="886" spans="5:10">
      <c r="E886"/>
      <c r="J886"/>
    </row>
    <row r="887" spans="5:10">
      <c r="E887"/>
      <c r="J887"/>
    </row>
    <row r="888" spans="5:10">
      <c r="E888"/>
      <c r="J888"/>
    </row>
    <row r="889" spans="5:10">
      <c r="E889"/>
      <c r="J889"/>
    </row>
    <row r="890" spans="5:10">
      <c r="E890"/>
      <c r="J890"/>
    </row>
    <row r="891" spans="5:10">
      <c r="E891"/>
      <c r="J891"/>
    </row>
    <row r="892" spans="5:10">
      <c r="E892"/>
      <c r="J892"/>
    </row>
    <row r="893" spans="5:10">
      <c r="E893"/>
      <c r="J893"/>
    </row>
    <row r="894" spans="5:10">
      <c r="E894"/>
      <c r="J894"/>
    </row>
    <row r="895" spans="5:10">
      <c r="E895"/>
      <c r="J895"/>
    </row>
    <row r="896" spans="5:10">
      <c r="E896"/>
      <c r="J896"/>
    </row>
    <row r="897" spans="5:10">
      <c r="E897"/>
      <c r="J897"/>
    </row>
    <row r="898" spans="5:10">
      <c r="E898"/>
      <c r="J898"/>
    </row>
    <row r="899" spans="5:10">
      <c r="E899"/>
      <c r="J899"/>
    </row>
    <row r="900" spans="5:10">
      <c r="E900"/>
      <c r="J900"/>
    </row>
    <row r="901" spans="5:10">
      <c r="E901"/>
      <c r="J901"/>
    </row>
    <row r="902" spans="5:10">
      <c r="E902"/>
      <c r="J902"/>
    </row>
    <row r="903" spans="5:10">
      <c r="E903"/>
      <c r="J903"/>
    </row>
    <row r="904" spans="5:10">
      <c r="E904"/>
      <c r="J904"/>
    </row>
    <row r="905" spans="5:10">
      <c r="E905"/>
      <c r="J905"/>
    </row>
    <row r="906" spans="5:10">
      <c r="E906"/>
      <c r="J906"/>
    </row>
    <row r="907" spans="5:10">
      <c r="E907"/>
      <c r="J907"/>
    </row>
    <row r="908" spans="5:10">
      <c r="E908"/>
      <c r="J908"/>
    </row>
    <row r="909" spans="5:10">
      <c r="E909"/>
      <c r="J909"/>
    </row>
    <row r="910" spans="5:10">
      <c r="E910"/>
      <c r="J910"/>
    </row>
    <row r="911" spans="5:10">
      <c r="E911"/>
      <c r="J911"/>
    </row>
    <row r="912" spans="5:10">
      <c r="E912"/>
      <c r="J912"/>
    </row>
    <row r="913" spans="5:10">
      <c r="E913"/>
      <c r="J913"/>
    </row>
    <row r="914" spans="5:10">
      <c r="E914"/>
      <c r="J914"/>
    </row>
    <row r="915" spans="5:10">
      <c r="E915"/>
      <c r="J915"/>
    </row>
    <row r="916" spans="5:10">
      <c r="E916"/>
      <c r="J916"/>
    </row>
    <row r="917" spans="5:10">
      <c r="E917"/>
      <c r="J917"/>
    </row>
    <row r="918" spans="5:10">
      <c r="E918"/>
      <c r="J918"/>
    </row>
    <row r="919" spans="5:10">
      <c r="E919"/>
      <c r="J919"/>
    </row>
    <row r="920" spans="5:10">
      <c r="E920"/>
      <c r="J920"/>
    </row>
    <row r="921" spans="5:10">
      <c r="E921"/>
      <c r="J921"/>
    </row>
    <row r="922" spans="5:10">
      <c r="E922"/>
      <c r="J922"/>
    </row>
    <row r="923" spans="5:10">
      <c r="E923"/>
      <c r="J923"/>
    </row>
    <row r="924" spans="5:10">
      <c r="E924"/>
      <c r="J924"/>
    </row>
    <row r="925" spans="5:10">
      <c r="E925"/>
      <c r="J925"/>
    </row>
    <row r="926" spans="5:10">
      <c r="E926"/>
      <c r="J926"/>
    </row>
    <row r="927" spans="5:10">
      <c r="E927"/>
      <c r="J927"/>
    </row>
    <row r="928" spans="5:10">
      <c r="E928"/>
      <c r="J928"/>
    </row>
    <row r="929" spans="5:10">
      <c r="E929"/>
      <c r="J929"/>
    </row>
    <row r="930" spans="5:10">
      <c r="E930"/>
      <c r="J930"/>
    </row>
    <row r="931" spans="5:10">
      <c r="E931"/>
      <c r="J931"/>
    </row>
    <row r="932" spans="5:10">
      <c r="E932"/>
      <c r="J932"/>
    </row>
    <row r="933" spans="5:10">
      <c r="E933"/>
      <c r="J933"/>
    </row>
    <row r="934" spans="5:10">
      <c r="E934"/>
      <c r="J934"/>
    </row>
    <row r="935" spans="5:10">
      <c r="E935"/>
      <c r="J935"/>
    </row>
    <row r="936" spans="5:10">
      <c r="E936"/>
      <c r="J936"/>
    </row>
    <row r="937" spans="5:10">
      <c r="E937"/>
      <c r="J937"/>
    </row>
    <row r="938" spans="5:10">
      <c r="E938"/>
      <c r="J938"/>
    </row>
    <row r="939" spans="5:10">
      <c r="E939"/>
      <c r="J939"/>
    </row>
    <row r="940" spans="5:10">
      <c r="E940"/>
      <c r="J940"/>
    </row>
    <row r="941" spans="5:10">
      <c r="E941"/>
      <c r="J941"/>
    </row>
    <row r="942" spans="5:10">
      <c r="E942"/>
      <c r="J942"/>
    </row>
    <row r="943" spans="5:10">
      <c r="E943"/>
      <c r="J943"/>
    </row>
    <row r="944" spans="5:10">
      <c r="E944"/>
      <c r="J944"/>
    </row>
    <row r="945" spans="5:10">
      <c r="E945"/>
      <c r="J945"/>
    </row>
    <row r="946" spans="5:10">
      <c r="E946"/>
      <c r="J946"/>
    </row>
    <row r="947" spans="5:10">
      <c r="E947"/>
      <c r="J947"/>
    </row>
    <row r="948" spans="5:10">
      <c r="E948"/>
      <c r="J948"/>
    </row>
    <row r="949" spans="5:10">
      <c r="E949"/>
      <c r="J949"/>
    </row>
    <row r="950" spans="5:10">
      <c r="E950"/>
      <c r="J950"/>
    </row>
    <row r="951" spans="5:10">
      <c r="E951"/>
      <c r="J951"/>
    </row>
    <row r="952" spans="5:10">
      <c r="E952"/>
      <c r="J952"/>
    </row>
    <row r="953" spans="5:10">
      <c r="E953"/>
      <c r="J953"/>
    </row>
    <row r="954" spans="5:10">
      <c r="E954"/>
      <c r="J954"/>
    </row>
    <row r="955" spans="5:10">
      <c r="E955"/>
      <c r="J955"/>
    </row>
    <row r="956" spans="5:10">
      <c r="E956"/>
      <c r="J956"/>
    </row>
    <row r="957" spans="5:10">
      <c r="E957"/>
      <c r="J957"/>
    </row>
    <row r="958" spans="5:10">
      <c r="E958"/>
      <c r="J958"/>
    </row>
    <row r="959" spans="5:10">
      <c r="E959"/>
      <c r="J959"/>
    </row>
    <row r="960" spans="5:10">
      <c r="E960"/>
      <c r="J960"/>
    </row>
    <row r="961" spans="5:10">
      <c r="E961"/>
      <c r="J961"/>
    </row>
    <row r="962" spans="5:10">
      <c r="E962"/>
      <c r="J962"/>
    </row>
    <row r="963" spans="5:10">
      <c r="E963"/>
      <c r="J963"/>
    </row>
    <row r="964" spans="5:10">
      <c r="E964"/>
      <c r="J964"/>
    </row>
    <row r="965" spans="5:10">
      <c r="E965"/>
      <c r="J965"/>
    </row>
    <row r="966" spans="5:10">
      <c r="E966"/>
      <c r="J966"/>
    </row>
    <row r="967" spans="5:10">
      <c r="E967"/>
      <c r="J967"/>
    </row>
    <row r="968" spans="5:10">
      <c r="E968"/>
      <c r="J968"/>
    </row>
    <row r="969" spans="5:10">
      <c r="E969"/>
      <c r="J969"/>
    </row>
    <row r="970" spans="5:10">
      <c r="E970"/>
      <c r="J970"/>
    </row>
    <row r="971" spans="5:10">
      <c r="E971"/>
      <c r="J971"/>
    </row>
    <row r="972" spans="5:10">
      <c r="E972"/>
      <c r="J972"/>
    </row>
    <row r="973" spans="5:10">
      <c r="E973"/>
      <c r="J973"/>
    </row>
    <row r="974" spans="5:10">
      <c r="E974"/>
      <c r="J974"/>
    </row>
    <row r="975" spans="5:10">
      <c r="E975"/>
      <c r="J975"/>
    </row>
    <row r="976" spans="5:10">
      <c r="E976"/>
      <c r="J976"/>
    </row>
    <row r="977" spans="5:10">
      <c r="E977"/>
      <c r="J977"/>
    </row>
    <row r="978" spans="5:10">
      <c r="E978"/>
      <c r="J978"/>
    </row>
    <row r="979" spans="5:10">
      <c r="E979"/>
      <c r="J979"/>
    </row>
    <row r="980" spans="5:10">
      <c r="E980"/>
      <c r="J980"/>
    </row>
    <row r="981" spans="5:10">
      <c r="E981"/>
      <c r="J981"/>
    </row>
    <row r="982" spans="5:10">
      <c r="E982"/>
      <c r="J982"/>
    </row>
    <row r="983" spans="5:10">
      <c r="E983"/>
      <c r="J983"/>
    </row>
    <row r="984" spans="5:10">
      <c r="E984"/>
      <c r="J984"/>
    </row>
    <row r="985" spans="5:10">
      <c r="E985"/>
      <c r="J985"/>
    </row>
    <row r="986" spans="5:10">
      <c r="E986"/>
      <c r="J986"/>
    </row>
    <row r="987" spans="5:10">
      <c r="E987"/>
      <c r="J987"/>
    </row>
    <row r="988" spans="5:10">
      <c r="E988"/>
      <c r="J988"/>
    </row>
    <row r="989" spans="5:10">
      <c r="E989"/>
      <c r="J989"/>
    </row>
    <row r="990" spans="5:10">
      <c r="E990"/>
      <c r="J990"/>
    </row>
    <row r="991" spans="5:10">
      <c r="E991"/>
      <c r="J991"/>
    </row>
    <row r="992" spans="5:10">
      <c r="E992"/>
      <c r="J992"/>
    </row>
    <row r="993" spans="5:10">
      <c r="E993"/>
      <c r="J993"/>
    </row>
    <row r="994" spans="5:10">
      <c r="E994"/>
      <c r="J994"/>
    </row>
    <row r="995" spans="5:10">
      <c r="E995"/>
      <c r="J995"/>
    </row>
    <row r="996" spans="5:10">
      <c r="E996"/>
      <c r="J996"/>
    </row>
    <row r="997" spans="5:10">
      <c r="E997"/>
      <c r="J997"/>
    </row>
    <row r="998" spans="5:10">
      <c r="E998"/>
      <c r="J998"/>
    </row>
    <row r="999" spans="5:10">
      <c r="E999"/>
      <c r="J999"/>
    </row>
    <row r="1000" spans="5:10">
      <c r="E1000"/>
      <c r="J1000"/>
    </row>
    <row r="1001" spans="5:10">
      <c r="E1001"/>
      <c r="J1001"/>
    </row>
    <row r="1002" spans="5:10">
      <c r="E1002"/>
      <c r="J1002"/>
    </row>
    <row r="1003" spans="5:10">
      <c r="E1003"/>
      <c r="J1003"/>
    </row>
    <row r="1004" spans="5:10">
      <c r="E1004"/>
      <c r="J1004"/>
    </row>
    <row r="1005" spans="5:10">
      <c r="E1005"/>
      <c r="J1005"/>
    </row>
    <row r="1006" spans="5:10">
      <c r="E1006"/>
      <c r="J1006"/>
    </row>
    <row r="1007" spans="5:10">
      <c r="E1007"/>
      <c r="J1007"/>
    </row>
    <row r="1008" spans="5:10">
      <c r="E1008"/>
      <c r="J1008"/>
    </row>
    <row r="1009" spans="5:10">
      <c r="E1009"/>
      <c r="J1009"/>
    </row>
    <row r="1010" spans="5:10">
      <c r="E1010"/>
      <c r="J1010"/>
    </row>
    <row r="1011" spans="5:10">
      <c r="E1011"/>
      <c r="J1011"/>
    </row>
    <row r="1012" spans="5:10">
      <c r="E1012"/>
      <c r="J1012"/>
    </row>
    <row r="1013" spans="5:10">
      <c r="E1013"/>
      <c r="J1013"/>
    </row>
    <row r="1014" spans="5:10">
      <c r="E1014"/>
      <c r="J1014"/>
    </row>
    <row r="1015" spans="5:10">
      <c r="E1015"/>
      <c r="J1015"/>
    </row>
    <row r="1016" spans="5:10">
      <c r="E1016"/>
      <c r="J1016"/>
    </row>
    <row r="1017" spans="5:10">
      <c r="E1017"/>
      <c r="J1017"/>
    </row>
    <row r="1018" spans="5:10">
      <c r="E1018"/>
      <c r="J1018"/>
    </row>
    <row r="1019" spans="5:10">
      <c r="E1019"/>
      <c r="J1019"/>
    </row>
    <row r="1020" spans="5:10">
      <c r="E1020"/>
      <c r="J1020"/>
    </row>
    <row r="1021" spans="5:10">
      <c r="E1021"/>
      <c r="J1021"/>
    </row>
    <row r="1022" spans="5:10">
      <c r="E1022"/>
      <c r="J1022"/>
    </row>
    <row r="1023" spans="5:10">
      <c r="E1023"/>
      <c r="J1023"/>
    </row>
    <row r="1024" spans="5:10">
      <c r="E1024"/>
      <c r="J1024"/>
    </row>
    <row r="1025" spans="5:10">
      <c r="E1025"/>
      <c r="J1025"/>
    </row>
    <row r="1026" spans="5:10">
      <c r="E1026"/>
      <c r="J1026"/>
    </row>
    <row r="1027" spans="5:10">
      <c r="E1027"/>
      <c r="J1027"/>
    </row>
    <row r="1028" spans="5:10">
      <c r="E1028"/>
      <c r="J1028"/>
    </row>
    <row r="1029" spans="5:10">
      <c r="E1029"/>
      <c r="J1029"/>
    </row>
    <row r="1030" spans="5:10">
      <c r="E1030"/>
      <c r="J1030"/>
    </row>
    <row r="1031" spans="5:10">
      <c r="E1031"/>
      <c r="J1031"/>
    </row>
    <row r="1032" spans="5:10">
      <c r="E1032"/>
      <c r="J1032"/>
    </row>
    <row r="1033" spans="5:10">
      <c r="E1033"/>
      <c r="J1033"/>
    </row>
    <row r="1034" spans="5:10">
      <c r="E1034"/>
      <c r="J1034"/>
    </row>
    <row r="1035" spans="5:10">
      <c r="E1035"/>
      <c r="J1035"/>
    </row>
    <row r="1036" spans="5:10">
      <c r="E1036"/>
      <c r="J1036"/>
    </row>
    <row r="1037" spans="5:10">
      <c r="E1037"/>
      <c r="J1037"/>
    </row>
    <row r="1038" spans="5:10">
      <c r="E1038"/>
      <c r="J1038"/>
    </row>
    <row r="1039" spans="5:10">
      <c r="E1039"/>
      <c r="J1039"/>
    </row>
    <row r="1040" spans="5:10">
      <c r="E1040"/>
      <c r="J1040"/>
    </row>
    <row r="1041" spans="5:10">
      <c r="E1041"/>
      <c r="J1041"/>
    </row>
    <row r="1042" spans="5:10">
      <c r="E1042"/>
      <c r="J1042"/>
    </row>
    <row r="1043" spans="5:10">
      <c r="E1043"/>
      <c r="J1043"/>
    </row>
    <row r="1044" spans="5:10">
      <c r="E1044"/>
      <c r="J1044"/>
    </row>
    <row r="1045" spans="5:10">
      <c r="E1045"/>
      <c r="J1045"/>
    </row>
    <row r="1046" spans="5:10">
      <c r="E1046"/>
      <c r="J1046"/>
    </row>
    <row r="1047" spans="5:10">
      <c r="E1047"/>
      <c r="J1047"/>
    </row>
    <row r="1048" spans="5:10">
      <c r="E1048"/>
      <c r="J1048"/>
    </row>
    <row r="1049" spans="5:10">
      <c r="E1049"/>
      <c r="J1049"/>
    </row>
    <row r="1050" spans="5:10">
      <c r="E1050"/>
      <c r="J1050"/>
    </row>
    <row r="1051" spans="5:10">
      <c r="E1051"/>
      <c r="J1051"/>
    </row>
    <row r="1052" spans="5:10">
      <c r="E1052"/>
      <c r="J1052"/>
    </row>
    <row r="1053" spans="5:10">
      <c r="E1053"/>
      <c r="J1053"/>
    </row>
    <row r="1054" spans="5:10">
      <c r="E1054"/>
      <c r="J1054"/>
    </row>
    <row r="1055" spans="5:10">
      <c r="E1055"/>
      <c r="J1055"/>
    </row>
    <row r="1056" spans="5:10">
      <c r="E1056"/>
      <c r="J1056"/>
    </row>
    <row r="1057" spans="5:10">
      <c r="E1057"/>
      <c r="J1057"/>
    </row>
    <row r="1058" spans="5:10">
      <c r="E1058"/>
      <c r="J1058"/>
    </row>
    <row r="1059" spans="5:10">
      <c r="E1059"/>
      <c r="J1059"/>
    </row>
    <row r="1060" spans="5:10">
      <c r="E1060"/>
      <c r="J1060"/>
    </row>
    <row r="1061" spans="5:10">
      <c r="E1061"/>
      <c r="J1061"/>
    </row>
    <row r="1062" spans="5:10">
      <c r="E1062"/>
      <c r="J1062"/>
    </row>
    <row r="1063" spans="5:10">
      <c r="E1063"/>
      <c r="J1063"/>
    </row>
    <row r="1064" spans="5:10">
      <c r="E1064"/>
      <c r="J1064"/>
    </row>
    <row r="1065" spans="5:10">
      <c r="E1065"/>
      <c r="J1065"/>
    </row>
    <row r="1066" spans="5:10">
      <c r="E1066"/>
      <c r="J1066"/>
    </row>
    <row r="1067" spans="5:10">
      <c r="E1067"/>
      <c r="J1067"/>
    </row>
    <row r="1068" spans="5:10">
      <c r="E1068"/>
      <c r="J1068"/>
    </row>
    <row r="1069" spans="5:10">
      <c r="E1069"/>
      <c r="J1069"/>
    </row>
    <row r="1070" spans="5:10">
      <c r="E1070"/>
      <c r="J1070"/>
    </row>
    <row r="1071" spans="5:10">
      <c r="E1071"/>
      <c r="J1071"/>
    </row>
    <row r="1072" spans="5:10">
      <c r="E1072"/>
      <c r="J1072"/>
    </row>
    <row r="1073" spans="5:10">
      <c r="E1073"/>
      <c r="J1073"/>
    </row>
    <row r="1074" spans="5:10">
      <c r="E1074"/>
      <c r="J1074"/>
    </row>
    <row r="1075" spans="5:10">
      <c r="E1075"/>
      <c r="J1075"/>
    </row>
    <row r="1076" spans="5:10">
      <c r="E1076"/>
      <c r="J1076"/>
    </row>
    <row r="1077" spans="5:10">
      <c r="E1077"/>
      <c r="J1077"/>
    </row>
    <row r="1078" spans="5:10">
      <c r="E1078"/>
      <c r="J1078"/>
    </row>
    <row r="1079" spans="5:10">
      <c r="E1079"/>
      <c r="J1079"/>
    </row>
    <row r="1080" spans="5:10">
      <c r="E1080"/>
      <c r="J1080"/>
    </row>
    <row r="1081" spans="5:10">
      <c r="E1081"/>
      <c r="J1081"/>
    </row>
    <row r="1082" spans="5:10">
      <c r="E1082"/>
      <c r="J1082"/>
    </row>
    <row r="1083" spans="5:10">
      <c r="E1083"/>
      <c r="J1083"/>
    </row>
    <row r="1084" spans="5:10">
      <c r="E1084"/>
      <c r="J1084"/>
    </row>
    <row r="1085" spans="5:10">
      <c r="E1085"/>
      <c r="J1085"/>
    </row>
    <row r="1086" spans="5:10">
      <c r="E1086"/>
      <c r="J1086"/>
    </row>
    <row r="1087" spans="5:10">
      <c r="E1087"/>
      <c r="J1087"/>
    </row>
    <row r="1088" spans="5:10">
      <c r="E1088"/>
      <c r="J1088"/>
    </row>
    <row r="1089" spans="5:10">
      <c r="E1089"/>
      <c r="J1089"/>
    </row>
    <row r="1090" spans="5:10">
      <c r="E1090"/>
      <c r="J1090"/>
    </row>
    <row r="1091" spans="5:10">
      <c r="E1091"/>
      <c r="J1091"/>
    </row>
    <row r="1092" spans="5:10">
      <c r="E1092"/>
      <c r="J1092"/>
    </row>
    <row r="1093" spans="5:10">
      <c r="E1093"/>
      <c r="J1093"/>
    </row>
    <row r="1094" spans="5:10">
      <c r="E1094"/>
      <c r="J1094"/>
    </row>
    <row r="1095" spans="5:10">
      <c r="E1095"/>
      <c r="J1095"/>
    </row>
    <row r="1096" spans="5:10">
      <c r="E1096"/>
      <c r="J1096"/>
    </row>
    <row r="1097" spans="5:10">
      <c r="E1097"/>
      <c r="J1097"/>
    </row>
    <row r="1098" spans="5:10">
      <c r="E1098"/>
      <c r="J1098"/>
    </row>
    <row r="1099" spans="5:10">
      <c r="E1099"/>
      <c r="J1099"/>
    </row>
    <row r="1100" spans="5:10">
      <c r="E1100"/>
      <c r="J1100"/>
    </row>
    <row r="1101" spans="5:10">
      <c r="E1101"/>
      <c r="J1101"/>
    </row>
    <row r="1102" spans="5:10">
      <c r="E1102"/>
      <c r="J1102"/>
    </row>
    <row r="1103" spans="5:10">
      <c r="E1103"/>
      <c r="J1103"/>
    </row>
    <row r="1104" spans="5:10">
      <c r="E1104"/>
      <c r="J1104"/>
    </row>
    <row r="1105" spans="5:10">
      <c r="E1105"/>
      <c r="J1105"/>
    </row>
    <row r="1106" spans="5:10">
      <c r="E1106"/>
      <c r="J1106"/>
    </row>
    <row r="1107" spans="5:10">
      <c r="E1107"/>
      <c r="J1107"/>
    </row>
    <row r="1108" spans="5:10">
      <c r="E1108"/>
      <c r="J1108"/>
    </row>
    <row r="1109" spans="5:10">
      <c r="E1109"/>
      <c r="J1109"/>
    </row>
    <row r="1110" spans="5:10">
      <c r="E1110"/>
      <c r="J1110"/>
    </row>
    <row r="1111" spans="5:10">
      <c r="E1111"/>
      <c r="J1111"/>
    </row>
    <row r="1112" spans="5:10">
      <c r="E1112"/>
      <c r="J1112"/>
    </row>
    <row r="1113" spans="5:10">
      <c r="E1113"/>
      <c r="J1113"/>
    </row>
    <row r="1114" spans="5:10">
      <c r="E1114"/>
      <c r="J1114"/>
    </row>
    <row r="1115" spans="5:10">
      <c r="E1115"/>
      <c r="J1115"/>
    </row>
    <row r="1116" spans="5:10">
      <c r="E1116"/>
      <c r="J1116"/>
    </row>
    <row r="1117" spans="5:10">
      <c r="E1117"/>
      <c r="J1117"/>
    </row>
    <row r="1118" spans="5:10">
      <c r="E1118"/>
      <c r="J1118"/>
    </row>
    <row r="1119" spans="5:10">
      <c r="E1119"/>
      <c r="J1119"/>
    </row>
    <row r="1120" spans="5:10">
      <c r="E1120"/>
      <c r="J1120"/>
    </row>
    <row r="1121" spans="5:10">
      <c r="E1121"/>
      <c r="J1121"/>
    </row>
    <row r="1122" spans="5:10">
      <c r="E1122"/>
      <c r="J1122"/>
    </row>
    <row r="1123" spans="5:10">
      <c r="E1123"/>
      <c r="J1123"/>
    </row>
    <row r="1124" spans="5:10">
      <c r="E1124"/>
      <c r="J1124"/>
    </row>
    <row r="1125" spans="5:10">
      <c r="E1125"/>
      <c r="J1125"/>
    </row>
    <row r="1126" spans="5:10">
      <c r="E1126"/>
      <c r="J1126"/>
    </row>
    <row r="1127" spans="5:10">
      <c r="E1127"/>
      <c r="J1127"/>
    </row>
    <row r="1128" spans="5:10">
      <c r="E1128"/>
      <c r="J1128"/>
    </row>
    <row r="1129" spans="5:10">
      <c r="E1129"/>
      <c r="J1129"/>
    </row>
    <row r="1130" spans="5:10">
      <c r="E1130"/>
      <c r="J1130"/>
    </row>
    <row r="1131" spans="5:10">
      <c r="E1131"/>
      <c r="J1131"/>
    </row>
    <row r="1132" spans="5:10">
      <c r="E1132"/>
      <c r="J1132"/>
    </row>
    <row r="1133" spans="5:10">
      <c r="E1133"/>
      <c r="J1133"/>
    </row>
    <row r="1134" spans="5:10">
      <c r="E1134"/>
      <c r="J1134"/>
    </row>
    <row r="1135" spans="5:10">
      <c r="E1135"/>
      <c r="J1135"/>
    </row>
    <row r="1136" spans="5:10">
      <c r="E1136"/>
      <c r="J1136"/>
    </row>
    <row r="1137" spans="5:10">
      <c r="E1137"/>
      <c r="J1137"/>
    </row>
    <row r="1138" spans="5:10">
      <c r="E1138"/>
      <c r="J1138"/>
    </row>
    <row r="1139" spans="5:10">
      <c r="E1139"/>
      <c r="J1139"/>
    </row>
    <row r="1140" spans="5:10">
      <c r="E1140"/>
      <c r="J1140"/>
    </row>
    <row r="1141" spans="5:10">
      <c r="E1141"/>
      <c r="J1141"/>
    </row>
    <row r="1142" spans="5:10">
      <c r="E1142"/>
      <c r="J1142"/>
    </row>
    <row r="1143" spans="5:10">
      <c r="E1143"/>
      <c r="J1143"/>
    </row>
    <row r="1144" spans="5:10">
      <c r="E1144"/>
      <c r="J1144"/>
    </row>
    <row r="1145" spans="5:10">
      <c r="E1145"/>
      <c r="J1145"/>
    </row>
    <row r="1146" spans="5:10">
      <c r="E1146"/>
      <c r="J1146"/>
    </row>
    <row r="1147" spans="5:10">
      <c r="E1147"/>
      <c r="J1147"/>
    </row>
    <row r="1148" spans="5:10">
      <c r="E1148"/>
      <c r="J1148"/>
    </row>
    <row r="1149" spans="5:10">
      <c r="E1149"/>
      <c r="J1149"/>
    </row>
    <row r="1150" spans="5:10">
      <c r="E1150"/>
      <c r="J1150"/>
    </row>
    <row r="1151" spans="5:10">
      <c r="E1151"/>
      <c r="J1151"/>
    </row>
    <row r="1152" spans="5:10">
      <c r="E1152"/>
      <c r="J1152"/>
    </row>
    <row r="1153" spans="5:10">
      <c r="E1153"/>
      <c r="J1153"/>
    </row>
    <row r="1154" spans="5:10">
      <c r="E1154"/>
      <c r="J1154"/>
    </row>
    <row r="1155" spans="5:10">
      <c r="E1155"/>
      <c r="J1155"/>
    </row>
    <row r="1156" spans="5:10">
      <c r="E1156"/>
      <c r="J1156"/>
    </row>
    <row r="1157" spans="5:10">
      <c r="E1157"/>
      <c r="J1157"/>
    </row>
    <row r="1158" spans="5:10">
      <c r="E1158"/>
      <c r="J1158"/>
    </row>
    <row r="1159" spans="5:10">
      <c r="E1159"/>
      <c r="J1159"/>
    </row>
    <row r="1160" spans="5:10">
      <c r="E1160"/>
      <c r="J1160"/>
    </row>
    <row r="1161" spans="5:10">
      <c r="E1161"/>
      <c r="J1161"/>
    </row>
    <row r="1162" spans="5:10">
      <c r="E1162"/>
      <c r="J1162"/>
    </row>
    <row r="1163" spans="5:10">
      <c r="E1163"/>
      <c r="J1163"/>
    </row>
    <row r="1164" spans="5:10">
      <c r="E1164"/>
      <c r="J1164"/>
    </row>
    <row r="1165" spans="5:10">
      <c r="E1165"/>
      <c r="J1165"/>
    </row>
    <row r="1166" spans="5:10">
      <c r="E1166"/>
      <c r="J1166"/>
    </row>
    <row r="1167" spans="5:10">
      <c r="E1167"/>
      <c r="J1167"/>
    </row>
    <row r="1168" spans="5:10">
      <c r="E1168"/>
      <c r="J1168"/>
    </row>
    <row r="1169" spans="5:10">
      <c r="E1169"/>
      <c r="J1169"/>
    </row>
    <row r="1170" spans="5:10">
      <c r="E1170"/>
      <c r="J1170"/>
    </row>
    <row r="1171" spans="5:10">
      <c r="E1171"/>
      <c r="J1171"/>
    </row>
    <row r="1172" spans="5:10">
      <c r="E1172"/>
      <c r="J1172"/>
    </row>
    <row r="1173" spans="5:10">
      <c r="E1173"/>
      <c r="J1173"/>
    </row>
    <row r="1174" spans="5:10">
      <c r="E1174"/>
      <c r="J1174"/>
    </row>
    <row r="1175" spans="5:10">
      <c r="E1175"/>
      <c r="J1175"/>
    </row>
    <row r="1176" spans="5:10">
      <c r="E1176"/>
      <c r="J1176"/>
    </row>
    <row r="1177" spans="5:10">
      <c r="E1177"/>
      <c r="J1177"/>
    </row>
    <row r="1178" spans="5:10">
      <c r="E1178"/>
      <c r="J1178"/>
    </row>
    <row r="1179" spans="5:10">
      <c r="E1179"/>
      <c r="J1179"/>
    </row>
    <row r="1180" spans="5:10">
      <c r="E1180"/>
      <c r="J1180"/>
    </row>
    <row r="1181" spans="5:10">
      <c r="E1181"/>
      <c r="J1181"/>
    </row>
    <row r="1182" spans="5:10">
      <c r="E1182"/>
      <c r="J1182"/>
    </row>
    <row r="1183" spans="5:10">
      <c r="E1183"/>
      <c r="J1183"/>
    </row>
    <row r="1184" spans="5:10">
      <c r="E1184"/>
      <c r="J1184"/>
    </row>
    <row r="1185" spans="5:10">
      <c r="E1185"/>
      <c r="J1185"/>
    </row>
    <row r="1186" spans="5:10">
      <c r="E1186"/>
      <c r="J1186"/>
    </row>
    <row r="1187" spans="5:10">
      <c r="E1187"/>
      <c r="J1187"/>
    </row>
    <row r="1188" spans="5:10">
      <c r="E1188"/>
      <c r="J1188"/>
    </row>
    <row r="1189" spans="5:10">
      <c r="E1189"/>
      <c r="J1189"/>
    </row>
    <row r="1190" spans="5:10">
      <c r="E1190"/>
      <c r="J1190"/>
    </row>
    <row r="1191" spans="5:10">
      <c r="E1191"/>
      <c r="J1191"/>
    </row>
    <row r="1192" spans="5:10">
      <c r="E1192"/>
      <c r="J1192"/>
    </row>
    <row r="1193" spans="5:10">
      <c r="E1193"/>
      <c r="J1193"/>
    </row>
    <row r="1194" spans="5:10">
      <c r="E1194"/>
      <c r="J1194"/>
    </row>
    <row r="1195" spans="5:10">
      <c r="E1195"/>
      <c r="J1195"/>
    </row>
    <row r="1196" spans="5:10">
      <c r="E1196"/>
      <c r="J1196"/>
    </row>
    <row r="1197" spans="5:10">
      <c r="E1197"/>
      <c r="J1197"/>
    </row>
    <row r="1198" spans="5:10">
      <c r="E1198"/>
      <c r="J1198"/>
    </row>
    <row r="1199" spans="5:10">
      <c r="E1199"/>
      <c r="J1199"/>
    </row>
    <row r="1200" spans="5:10">
      <c r="E1200"/>
      <c r="J1200"/>
    </row>
    <row r="1201" spans="5:10">
      <c r="E1201"/>
      <c r="J1201"/>
    </row>
    <row r="1202" spans="5:10">
      <c r="E1202"/>
      <c r="J1202"/>
    </row>
    <row r="1203" spans="5:10">
      <c r="E1203"/>
      <c r="J1203"/>
    </row>
    <row r="1204" spans="5:10">
      <c r="E1204"/>
      <c r="J1204"/>
    </row>
    <row r="1205" spans="5:10">
      <c r="E1205"/>
      <c r="J1205"/>
    </row>
    <row r="1206" spans="5:10">
      <c r="E1206"/>
      <c r="J1206"/>
    </row>
    <row r="1207" spans="5:10">
      <c r="E1207"/>
      <c r="J1207"/>
    </row>
    <row r="1208" spans="5:10">
      <c r="E1208"/>
      <c r="J1208"/>
    </row>
    <row r="1209" spans="5:10">
      <c r="E1209"/>
      <c r="J1209"/>
    </row>
    <row r="1210" spans="5:10">
      <c r="E1210"/>
      <c r="J1210"/>
    </row>
    <row r="1211" spans="5:10">
      <c r="E1211"/>
      <c r="J1211"/>
    </row>
    <row r="1212" spans="5:10">
      <c r="E1212"/>
      <c r="J1212"/>
    </row>
    <row r="1213" spans="5:10">
      <c r="E1213"/>
      <c r="J1213"/>
    </row>
    <row r="1214" spans="5:10">
      <c r="E1214"/>
      <c r="J1214"/>
    </row>
    <row r="1215" spans="5:10">
      <c r="E1215"/>
      <c r="J1215"/>
    </row>
    <row r="1216" spans="5:10">
      <c r="E1216"/>
      <c r="J1216"/>
    </row>
    <row r="1217" spans="5:10">
      <c r="E1217"/>
      <c r="J1217"/>
    </row>
    <row r="1218" spans="5:10">
      <c r="E1218"/>
      <c r="J1218"/>
    </row>
    <row r="1219" spans="5:10">
      <c r="E1219"/>
      <c r="J1219"/>
    </row>
    <row r="1220" spans="5:10">
      <c r="E1220"/>
      <c r="J1220"/>
    </row>
    <row r="1221" spans="5:10">
      <c r="E1221"/>
      <c r="J1221"/>
    </row>
    <row r="1222" spans="5:10">
      <c r="E1222"/>
      <c r="J1222"/>
    </row>
    <row r="1223" spans="5:10">
      <c r="E1223"/>
      <c r="J1223"/>
    </row>
    <row r="1224" spans="5:10">
      <c r="E1224"/>
      <c r="J1224"/>
    </row>
    <row r="1225" spans="5:10">
      <c r="E1225"/>
      <c r="J1225"/>
    </row>
    <row r="1226" spans="5:10">
      <c r="E1226"/>
      <c r="J1226"/>
    </row>
    <row r="1227" spans="5:10">
      <c r="E1227"/>
      <c r="J1227"/>
    </row>
    <row r="1228" spans="5:10">
      <c r="E1228"/>
      <c r="J1228"/>
    </row>
    <row r="1229" spans="5:10">
      <c r="E1229"/>
      <c r="J1229"/>
    </row>
    <row r="1230" spans="5:10">
      <c r="E1230"/>
      <c r="J1230"/>
    </row>
    <row r="1231" spans="5:10">
      <c r="E1231"/>
      <c r="J1231"/>
    </row>
    <row r="1232" spans="5:10">
      <c r="E1232"/>
      <c r="J1232"/>
    </row>
    <row r="1233" spans="5:10">
      <c r="E1233"/>
      <c r="J1233"/>
    </row>
    <row r="1234" spans="5:10">
      <c r="E1234"/>
      <c r="J1234"/>
    </row>
    <row r="1235" spans="5:10">
      <c r="E1235"/>
      <c r="J1235"/>
    </row>
    <row r="1236" spans="5:10">
      <c r="E1236"/>
      <c r="J1236"/>
    </row>
    <row r="1237" spans="5:10">
      <c r="E1237"/>
      <c r="J1237"/>
    </row>
    <row r="1238" spans="5:10">
      <c r="E1238"/>
      <c r="J1238"/>
    </row>
    <row r="1239" spans="5:10">
      <c r="E1239"/>
      <c r="J1239"/>
    </row>
    <row r="1240" spans="5:10">
      <c r="E1240"/>
      <c r="J1240"/>
    </row>
    <row r="1241" spans="5:10">
      <c r="E1241"/>
      <c r="J1241"/>
    </row>
    <row r="1242" spans="5:10">
      <c r="E1242"/>
      <c r="J1242"/>
    </row>
    <row r="1243" spans="5:10">
      <c r="E1243"/>
      <c r="J1243"/>
    </row>
    <row r="1244" spans="5:10">
      <c r="E1244"/>
      <c r="J1244"/>
    </row>
    <row r="1245" spans="5:10">
      <c r="E1245"/>
      <c r="J1245"/>
    </row>
    <row r="1246" spans="5:10">
      <c r="E1246"/>
      <c r="J1246"/>
    </row>
    <row r="1247" spans="5:10">
      <c r="E1247"/>
      <c r="J1247"/>
    </row>
    <row r="1248" spans="5:10">
      <c r="E1248"/>
      <c r="J1248"/>
    </row>
    <row r="1249" spans="5:10">
      <c r="E1249"/>
      <c r="J1249"/>
    </row>
    <row r="1250" spans="5:10">
      <c r="E1250"/>
      <c r="J1250"/>
    </row>
    <row r="1251" spans="5:10">
      <c r="E1251"/>
      <c r="J1251"/>
    </row>
    <row r="1252" spans="5:10">
      <c r="E1252"/>
      <c r="J1252"/>
    </row>
    <row r="1253" spans="5:10">
      <c r="E1253"/>
      <c r="J1253"/>
    </row>
    <row r="1254" spans="5:10">
      <c r="E1254"/>
      <c r="J1254"/>
    </row>
    <row r="1255" spans="5:10">
      <c r="E1255"/>
      <c r="J1255"/>
    </row>
    <row r="1256" spans="5:10">
      <c r="E1256"/>
      <c r="J1256"/>
    </row>
    <row r="1257" spans="5:10">
      <c r="E1257"/>
      <c r="J1257"/>
    </row>
    <row r="1258" spans="5:10">
      <c r="E1258"/>
      <c r="J1258"/>
    </row>
    <row r="1259" spans="5:10">
      <c r="E1259"/>
      <c r="J1259"/>
    </row>
    <row r="1260" spans="5:10">
      <c r="E1260"/>
      <c r="J1260"/>
    </row>
    <row r="1261" spans="5:10">
      <c r="E1261"/>
      <c r="J1261"/>
    </row>
    <row r="1262" spans="5:10">
      <c r="E1262"/>
      <c r="J1262"/>
    </row>
    <row r="1263" spans="5:10">
      <c r="E1263"/>
      <c r="J1263"/>
    </row>
    <row r="1264" spans="5:10">
      <c r="E1264"/>
      <c r="J1264"/>
    </row>
    <row r="1265" spans="5:10">
      <c r="E1265"/>
      <c r="J1265"/>
    </row>
    <row r="1266" spans="5:10">
      <c r="E1266"/>
      <c r="J1266"/>
    </row>
    <row r="1267" spans="5:10">
      <c r="E1267"/>
      <c r="J1267"/>
    </row>
    <row r="1268" spans="5:10">
      <c r="E1268"/>
      <c r="J1268"/>
    </row>
    <row r="1269" spans="5:10">
      <c r="E1269"/>
      <c r="J1269"/>
    </row>
    <row r="1270" spans="5:10">
      <c r="E1270"/>
      <c r="J1270"/>
    </row>
    <row r="1271" spans="5:10">
      <c r="E1271"/>
      <c r="J1271"/>
    </row>
    <row r="1272" spans="5:10">
      <c r="E1272"/>
      <c r="J1272"/>
    </row>
    <row r="1273" spans="5:10">
      <c r="E1273"/>
      <c r="J1273"/>
    </row>
    <row r="1274" spans="5:10">
      <c r="E1274"/>
      <c r="J1274"/>
    </row>
    <row r="1275" spans="5:10">
      <c r="E1275"/>
      <c r="J1275"/>
    </row>
    <row r="1276" spans="5:10">
      <c r="E1276"/>
      <c r="J1276"/>
    </row>
    <row r="1277" spans="5:10">
      <c r="E1277"/>
      <c r="J1277"/>
    </row>
    <row r="1278" spans="5:10">
      <c r="E1278"/>
      <c r="J1278"/>
    </row>
    <row r="1279" spans="5:10">
      <c r="E1279"/>
      <c r="J1279"/>
    </row>
    <row r="1280" spans="5:10">
      <c r="E1280"/>
      <c r="J1280"/>
    </row>
    <row r="1281" spans="5:10">
      <c r="E1281"/>
      <c r="J1281"/>
    </row>
    <row r="1282" spans="5:10">
      <c r="E1282"/>
      <c r="J1282"/>
    </row>
    <row r="1283" spans="5:10">
      <c r="E1283"/>
      <c r="J1283"/>
    </row>
    <row r="1284" spans="5:10">
      <c r="E1284"/>
      <c r="J1284"/>
    </row>
    <row r="1285" spans="5:10">
      <c r="E1285"/>
      <c r="J1285"/>
    </row>
    <row r="1286" spans="5:10">
      <c r="E1286"/>
      <c r="J1286"/>
    </row>
    <row r="1287" spans="5:10">
      <c r="E1287"/>
      <c r="J1287"/>
    </row>
    <row r="1288" spans="5:10">
      <c r="E1288"/>
      <c r="J1288"/>
    </row>
    <row r="1289" spans="5:10">
      <c r="E1289"/>
      <c r="J1289"/>
    </row>
    <row r="1290" spans="5:10">
      <c r="E1290"/>
      <c r="J1290"/>
    </row>
    <row r="1291" spans="5:10">
      <c r="E1291"/>
      <c r="J1291"/>
    </row>
    <row r="1292" spans="5:10">
      <c r="E1292"/>
      <c r="J1292"/>
    </row>
    <row r="1293" spans="5:10">
      <c r="E1293"/>
      <c r="J1293"/>
    </row>
    <row r="1294" spans="5:10">
      <c r="E1294"/>
      <c r="J1294"/>
    </row>
    <row r="1295" spans="5:10">
      <c r="E1295"/>
      <c r="J1295"/>
    </row>
    <row r="1296" spans="5:10">
      <c r="E1296"/>
      <c r="J1296"/>
    </row>
    <row r="1297" spans="5:10">
      <c r="E1297"/>
      <c r="J1297"/>
    </row>
    <row r="1298" spans="5:10">
      <c r="E1298"/>
      <c r="J1298"/>
    </row>
    <row r="1299" spans="5:10">
      <c r="E1299"/>
      <c r="J1299"/>
    </row>
    <row r="1300" spans="5:10">
      <c r="E1300"/>
      <c r="J1300"/>
    </row>
    <row r="1301" spans="5:10">
      <c r="E1301"/>
      <c r="J1301"/>
    </row>
    <row r="1302" spans="5:10">
      <c r="E1302"/>
      <c r="J1302"/>
    </row>
    <row r="1303" spans="5:10">
      <c r="E1303"/>
      <c r="J1303"/>
    </row>
    <row r="1304" spans="5:10">
      <c r="E1304"/>
      <c r="J1304"/>
    </row>
    <row r="1305" spans="5:10">
      <c r="E1305"/>
      <c r="J1305"/>
    </row>
    <row r="1306" spans="5:10">
      <c r="E1306"/>
      <c r="J1306"/>
    </row>
    <row r="1307" spans="5:10">
      <c r="E1307"/>
      <c r="J1307"/>
    </row>
    <row r="1308" spans="5:10">
      <c r="E1308"/>
      <c r="J1308"/>
    </row>
    <row r="1309" spans="5:10">
      <c r="E1309"/>
      <c r="J1309"/>
    </row>
    <row r="1310" spans="5:10">
      <c r="E1310"/>
      <c r="J1310"/>
    </row>
    <row r="1311" spans="5:10">
      <c r="E1311"/>
      <c r="J1311"/>
    </row>
    <row r="1312" spans="5:10">
      <c r="E1312"/>
      <c r="J1312"/>
    </row>
    <row r="1313" spans="5:10">
      <c r="E1313"/>
      <c r="J1313"/>
    </row>
    <row r="1314" spans="5:10">
      <c r="E1314"/>
      <c r="J1314"/>
    </row>
    <row r="1315" spans="5:10">
      <c r="E1315"/>
      <c r="J1315"/>
    </row>
    <row r="1316" spans="5:10">
      <c r="E1316"/>
      <c r="J1316"/>
    </row>
    <row r="1317" spans="5:10">
      <c r="E1317"/>
      <c r="J1317"/>
    </row>
    <row r="1318" spans="5:10">
      <c r="E1318"/>
      <c r="J1318"/>
    </row>
    <row r="1319" spans="5:10">
      <c r="E1319"/>
      <c r="J1319"/>
    </row>
    <row r="1320" spans="5:10">
      <c r="E1320"/>
      <c r="J1320"/>
    </row>
    <row r="1321" spans="5:10">
      <c r="E1321"/>
      <c r="J1321"/>
    </row>
    <row r="1322" spans="5:10">
      <c r="E1322"/>
      <c r="J1322"/>
    </row>
    <row r="1323" spans="5:10">
      <c r="E1323"/>
      <c r="J1323"/>
    </row>
    <row r="1324" spans="5:10">
      <c r="E1324"/>
      <c r="J1324"/>
    </row>
    <row r="1325" spans="5:10">
      <c r="E1325"/>
      <c r="J1325"/>
    </row>
    <row r="1326" spans="5:10">
      <c r="E1326"/>
      <c r="J1326"/>
    </row>
    <row r="1327" spans="5:10">
      <c r="E1327"/>
      <c r="J1327"/>
    </row>
    <row r="1328" spans="5:10">
      <c r="E1328"/>
      <c r="J1328"/>
    </row>
    <row r="1329" spans="5:10">
      <c r="E1329"/>
      <c r="J1329"/>
    </row>
    <row r="1330" spans="5:10">
      <c r="E1330"/>
      <c r="J1330"/>
    </row>
    <row r="1331" spans="5:10">
      <c r="E1331"/>
      <c r="J1331"/>
    </row>
    <row r="1332" spans="5:10">
      <c r="E1332"/>
      <c r="J1332"/>
    </row>
    <row r="1333" spans="5:10">
      <c r="E1333"/>
      <c r="J1333"/>
    </row>
    <row r="1334" spans="5:10">
      <c r="E1334"/>
      <c r="J1334"/>
    </row>
    <row r="1335" spans="5:10">
      <c r="E1335"/>
      <c r="J1335"/>
    </row>
    <row r="1336" spans="5:10">
      <c r="E1336"/>
      <c r="J1336"/>
    </row>
    <row r="1337" spans="5:10">
      <c r="E1337"/>
      <c r="J1337"/>
    </row>
    <row r="1338" spans="5:10">
      <c r="E1338"/>
      <c r="J1338"/>
    </row>
    <row r="1339" spans="5:10">
      <c r="E1339"/>
      <c r="J1339"/>
    </row>
    <row r="1340" spans="5:10">
      <c r="E1340"/>
      <c r="J1340"/>
    </row>
    <row r="1341" spans="5:10">
      <c r="E1341"/>
      <c r="J1341"/>
    </row>
    <row r="1342" spans="5:10">
      <c r="E1342"/>
      <c r="J1342"/>
    </row>
    <row r="1343" spans="5:10">
      <c r="E1343"/>
      <c r="J1343"/>
    </row>
    <row r="1344" spans="5:10">
      <c r="E1344"/>
      <c r="J1344"/>
    </row>
    <row r="1345" spans="5:10">
      <c r="E1345"/>
      <c r="J1345"/>
    </row>
    <row r="1346" spans="5:10">
      <c r="E1346"/>
      <c r="J1346"/>
    </row>
    <row r="1347" spans="5:10">
      <c r="E1347"/>
      <c r="J1347"/>
    </row>
    <row r="1348" spans="5:10">
      <c r="E1348"/>
      <c r="J1348"/>
    </row>
    <row r="1349" spans="5:10">
      <c r="E1349"/>
      <c r="J1349"/>
    </row>
    <row r="1350" spans="5:10">
      <c r="E1350"/>
      <c r="J1350"/>
    </row>
    <row r="1351" spans="5:10">
      <c r="E1351"/>
      <c r="J1351"/>
    </row>
    <row r="1352" spans="5:10">
      <c r="E1352"/>
      <c r="J1352"/>
    </row>
    <row r="1353" spans="5:10">
      <c r="E1353"/>
      <c r="J1353"/>
    </row>
    <row r="1354" spans="5:10">
      <c r="E1354"/>
      <c r="J1354"/>
    </row>
    <row r="1355" spans="5:10">
      <c r="E1355"/>
      <c r="J1355"/>
    </row>
    <row r="1356" spans="5:10">
      <c r="E1356"/>
      <c r="J1356"/>
    </row>
    <row r="1357" spans="5:10">
      <c r="E1357"/>
      <c r="J1357"/>
    </row>
    <row r="1358" spans="5:10">
      <c r="E1358"/>
      <c r="J1358"/>
    </row>
    <row r="1359" spans="5:10">
      <c r="E1359"/>
      <c r="J1359"/>
    </row>
    <row r="1360" spans="5:10">
      <c r="E1360"/>
      <c r="J1360"/>
    </row>
    <row r="1361" spans="5:10">
      <c r="E1361"/>
      <c r="J1361"/>
    </row>
    <row r="1362" spans="5:10">
      <c r="E1362"/>
      <c r="J1362"/>
    </row>
    <row r="1363" spans="5:10">
      <c r="E1363"/>
      <c r="J1363"/>
    </row>
    <row r="1364" spans="5:10">
      <c r="E1364"/>
      <c r="J1364"/>
    </row>
    <row r="1365" spans="5:10">
      <c r="E1365"/>
      <c r="J1365"/>
    </row>
    <row r="1366" spans="5:10">
      <c r="E1366"/>
      <c r="J1366"/>
    </row>
    <row r="1367" spans="5:10">
      <c r="E1367"/>
      <c r="J1367"/>
    </row>
    <row r="1368" spans="5:10">
      <c r="E1368"/>
      <c r="J1368"/>
    </row>
    <row r="1369" spans="5:10">
      <c r="E1369"/>
      <c r="J1369"/>
    </row>
    <row r="1370" spans="5:10">
      <c r="E1370"/>
      <c r="J1370"/>
    </row>
    <row r="1371" spans="5:10">
      <c r="E1371"/>
      <c r="J1371"/>
    </row>
    <row r="1372" spans="5:10">
      <c r="E1372"/>
      <c r="J1372"/>
    </row>
    <row r="1373" spans="5:10">
      <c r="E1373"/>
      <c r="J1373"/>
    </row>
    <row r="1374" spans="5:10">
      <c r="E1374"/>
      <c r="J1374"/>
    </row>
    <row r="1375" spans="5:10">
      <c r="E1375"/>
      <c r="J1375"/>
    </row>
    <row r="1376" spans="5:10">
      <c r="E1376"/>
      <c r="J1376"/>
    </row>
    <row r="1377" spans="5:10">
      <c r="E1377"/>
      <c r="J1377"/>
    </row>
    <row r="1378" spans="5:10">
      <c r="E1378"/>
      <c r="J1378"/>
    </row>
    <row r="1379" spans="5:10">
      <c r="E1379"/>
      <c r="J1379"/>
    </row>
    <row r="1380" spans="5:10">
      <c r="E1380"/>
      <c r="J1380"/>
    </row>
    <row r="1381" spans="5:10">
      <c r="E1381"/>
      <c r="J1381"/>
    </row>
    <row r="1382" spans="5:10">
      <c r="E1382"/>
      <c r="J1382"/>
    </row>
    <row r="1383" spans="5:10">
      <c r="E1383"/>
      <c r="J1383"/>
    </row>
    <row r="1384" spans="5:10">
      <c r="E1384"/>
      <c r="J1384"/>
    </row>
    <row r="1385" spans="5:10">
      <c r="E1385"/>
      <c r="J1385"/>
    </row>
    <row r="1386" spans="5:10">
      <c r="E1386"/>
      <c r="J1386"/>
    </row>
    <row r="1387" spans="5:10">
      <c r="E1387"/>
      <c r="J1387"/>
    </row>
    <row r="1388" spans="5:10">
      <c r="E1388"/>
      <c r="J1388"/>
    </row>
    <row r="1389" spans="5:10">
      <c r="E1389"/>
      <c r="J1389"/>
    </row>
    <row r="1390" spans="5:10">
      <c r="E1390"/>
      <c r="J1390"/>
    </row>
    <row r="1391" spans="5:10">
      <c r="E1391"/>
      <c r="J1391"/>
    </row>
    <row r="1392" spans="5:10">
      <c r="E1392"/>
      <c r="J1392"/>
    </row>
    <row r="1393" spans="5:10">
      <c r="E1393"/>
      <c r="J1393"/>
    </row>
    <row r="1394" spans="5:10">
      <c r="E1394"/>
      <c r="J1394"/>
    </row>
    <row r="1395" spans="5:10">
      <c r="E1395"/>
      <c r="J1395"/>
    </row>
    <row r="1396" spans="5:10">
      <c r="E1396"/>
      <c r="J1396"/>
    </row>
    <row r="1397" spans="5:10">
      <c r="E1397"/>
      <c r="J1397"/>
    </row>
    <row r="1398" spans="5:10">
      <c r="E1398"/>
      <c r="J1398"/>
    </row>
    <row r="1399" spans="5:10">
      <c r="E1399"/>
      <c r="J1399"/>
    </row>
    <row r="1400" spans="5:10">
      <c r="E1400"/>
      <c r="J1400"/>
    </row>
    <row r="1401" spans="5:10">
      <c r="E1401"/>
      <c r="J1401"/>
    </row>
    <row r="1402" spans="5:10">
      <c r="E1402"/>
      <c r="J1402"/>
    </row>
    <row r="1403" spans="5:10">
      <c r="E1403"/>
      <c r="J1403"/>
    </row>
    <row r="1404" spans="5:10">
      <c r="E1404"/>
      <c r="J1404"/>
    </row>
    <row r="1405" spans="5:10">
      <c r="E1405"/>
      <c r="J1405"/>
    </row>
    <row r="1406" spans="5:10">
      <c r="E1406"/>
      <c r="J1406"/>
    </row>
    <row r="1407" spans="5:10">
      <c r="E1407"/>
      <c r="J1407"/>
    </row>
    <row r="1408" spans="5:10">
      <c r="E1408"/>
      <c r="J1408"/>
    </row>
    <row r="1409" spans="5:10">
      <c r="E1409"/>
      <c r="J1409"/>
    </row>
    <row r="1410" spans="5:10">
      <c r="E1410"/>
      <c r="J1410"/>
    </row>
    <row r="1411" spans="5:10">
      <c r="E1411"/>
      <c r="J1411"/>
    </row>
    <row r="1412" spans="5:10">
      <c r="E1412"/>
      <c r="J1412"/>
    </row>
    <row r="1413" spans="5:10">
      <c r="E1413"/>
      <c r="J1413"/>
    </row>
    <row r="1414" spans="5:10">
      <c r="E1414"/>
      <c r="J1414"/>
    </row>
    <row r="1415" spans="5:10">
      <c r="E1415"/>
      <c r="J1415"/>
    </row>
    <row r="1416" spans="5:10">
      <c r="E1416"/>
      <c r="J1416"/>
    </row>
    <row r="1417" spans="5:10">
      <c r="E1417"/>
      <c r="J1417"/>
    </row>
    <row r="1418" spans="5:10">
      <c r="E1418"/>
      <c r="J1418"/>
    </row>
    <row r="1419" spans="5:10">
      <c r="E1419"/>
      <c r="J1419"/>
    </row>
    <row r="1420" spans="5:10">
      <c r="E1420"/>
      <c r="J1420"/>
    </row>
    <row r="1421" spans="5:10">
      <c r="E1421"/>
      <c r="J1421"/>
    </row>
    <row r="1422" spans="5:10">
      <c r="E1422"/>
      <c r="J1422"/>
    </row>
    <row r="1423" spans="5:10">
      <c r="E1423"/>
      <c r="J1423"/>
    </row>
    <row r="1424" spans="5:10">
      <c r="E1424"/>
      <c r="J1424"/>
    </row>
    <row r="1425" spans="5:10">
      <c r="E1425"/>
      <c r="J1425"/>
    </row>
    <row r="1426" spans="5:10">
      <c r="E1426"/>
      <c r="J1426"/>
    </row>
    <row r="1427" spans="5:10">
      <c r="E1427"/>
      <c r="J1427"/>
    </row>
    <row r="1428" spans="5:10">
      <c r="E1428"/>
      <c r="J1428"/>
    </row>
    <row r="1429" spans="5:10">
      <c r="E1429"/>
      <c r="J1429"/>
    </row>
    <row r="1430" spans="5:10">
      <c r="E1430"/>
      <c r="J1430"/>
    </row>
    <row r="1431" spans="5:10">
      <c r="E1431"/>
      <c r="J1431"/>
    </row>
    <row r="1432" spans="5:10">
      <c r="E1432"/>
      <c r="J1432"/>
    </row>
    <row r="1433" spans="5:10">
      <c r="E1433"/>
      <c r="J1433"/>
    </row>
    <row r="1434" spans="5:10">
      <c r="E1434"/>
      <c r="J1434"/>
    </row>
    <row r="1435" spans="5:10">
      <c r="E1435"/>
      <c r="J1435"/>
    </row>
    <row r="1436" spans="5:10">
      <c r="E1436"/>
      <c r="J1436"/>
    </row>
    <row r="1437" spans="5:10">
      <c r="E1437"/>
      <c r="J1437"/>
    </row>
    <row r="1438" spans="5:10">
      <c r="E1438"/>
      <c r="J1438"/>
    </row>
    <row r="1439" spans="5:10">
      <c r="E1439"/>
      <c r="J1439"/>
    </row>
    <row r="1440" spans="5:10">
      <c r="E1440"/>
      <c r="J1440"/>
    </row>
    <row r="1441" spans="5:10">
      <c r="E1441"/>
      <c r="J1441"/>
    </row>
    <row r="1442" spans="5:10">
      <c r="E1442"/>
      <c r="J1442"/>
    </row>
    <row r="1443" spans="5:10">
      <c r="E1443"/>
      <c r="J1443"/>
    </row>
    <row r="1444" spans="5:10">
      <c r="E1444"/>
      <c r="J1444"/>
    </row>
    <row r="1445" spans="5:10">
      <c r="E1445"/>
      <c r="J1445"/>
    </row>
    <row r="1446" spans="5:10">
      <c r="E1446"/>
      <c r="J1446"/>
    </row>
    <row r="1447" spans="5:10">
      <c r="E1447"/>
      <c r="J1447"/>
    </row>
    <row r="1448" spans="5:10">
      <c r="E1448"/>
      <c r="J1448"/>
    </row>
    <row r="1449" spans="5:10">
      <c r="E1449"/>
      <c r="J1449"/>
    </row>
    <row r="1450" spans="5:10">
      <c r="E1450"/>
      <c r="J1450"/>
    </row>
    <row r="1451" spans="5:10">
      <c r="E1451"/>
      <c r="J1451"/>
    </row>
    <row r="1452" spans="5:10">
      <c r="E1452"/>
      <c r="J1452"/>
    </row>
    <row r="1453" spans="5:10">
      <c r="E1453"/>
      <c r="J1453"/>
    </row>
    <row r="1454" spans="5:10">
      <c r="E1454"/>
      <c r="J1454"/>
    </row>
    <row r="1455" spans="5:10">
      <c r="E1455"/>
      <c r="J1455"/>
    </row>
    <row r="1456" spans="5:10">
      <c r="E1456"/>
      <c r="J1456"/>
    </row>
    <row r="1457" spans="5:10">
      <c r="E1457"/>
      <c r="J1457"/>
    </row>
    <row r="1458" spans="5:10">
      <c r="E1458"/>
      <c r="J1458"/>
    </row>
    <row r="1459" spans="5:10">
      <c r="E1459"/>
      <c r="J1459"/>
    </row>
    <row r="1460" spans="5:10">
      <c r="E1460"/>
      <c r="J1460"/>
    </row>
    <row r="1461" spans="5:10">
      <c r="E1461"/>
      <c r="J1461"/>
    </row>
    <row r="1462" spans="5:10">
      <c r="E1462"/>
      <c r="J1462"/>
    </row>
    <row r="1463" spans="5:10">
      <c r="E1463"/>
      <c r="J1463"/>
    </row>
    <row r="1464" spans="5:10">
      <c r="E1464"/>
      <c r="J1464"/>
    </row>
    <row r="1465" spans="5:10">
      <c r="E1465"/>
      <c r="J1465"/>
    </row>
    <row r="1466" spans="5:10">
      <c r="E1466"/>
      <c r="J1466"/>
    </row>
    <row r="1467" spans="5:10">
      <c r="E1467"/>
      <c r="J1467"/>
    </row>
    <row r="1468" spans="5:10">
      <c r="E1468"/>
      <c r="J1468"/>
    </row>
    <row r="1469" spans="5:10">
      <c r="E1469"/>
      <c r="J1469"/>
    </row>
    <row r="1470" spans="5:10">
      <c r="E1470"/>
      <c r="J1470"/>
    </row>
    <row r="1471" spans="5:10">
      <c r="E1471"/>
      <c r="J1471"/>
    </row>
    <row r="1472" spans="5:10">
      <c r="E1472"/>
      <c r="J1472"/>
    </row>
    <row r="1473" spans="5:10">
      <c r="E1473"/>
      <c r="J1473"/>
    </row>
    <row r="1474" spans="5:10">
      <c r="E1474"/>
      <c r="J1474"/>
    </row>
    <row r="1475" spans="5:10">
      <c r="E1475"/>
      <c r="J1475"/>
    </row>
    <row r="1476" spans="5:10">
      <c r="E1476"/>
      <c r="J1476"/>
    </row>
    <row r="1477" spans="5:10">
      <c r="E1477"/>
      <c r="J1477"/>
    </row>
    <row r="1478" spans="5:10">
      <c r="E1478"/>
      <c r="J1478"/>
    </row>
    <row r="1479" spans="5:10">
      <c r="E1479"/>
      <c r="J1479"/>
    </row>
    <row r="1480" spans="5:10">
      <c r="E1480"/>
      <c r="J1480"/>
    </row>
    <row r="1481" spans="5:10">
      <c r="E1481"/>
      <c r="J1481"/>
    </row>
    <row r="1482" spans="5:10">
      <c r="E1482"/>
      <c r="J1482"/>
    </row>
    <row r="1483" spans="5:10">
      <c r="E1483"/>
      <c r="J1483"/>
    </row>
    <row r="1484" spans="5:10">
      <c r="E1484"/>
      <c r="J1484"/>
    </row>
    <row r="1485" spans="5:10">
      <c r="E1485"/>
      <c r="J1485"/>
    </row>
    <row r="1486" spans="5:10">
      <c r="E1486"/>
      <c r="J1486"/>
    </row>
    <row r="1487" spans="5:10">
      <c r="E1487"/>
      <c r="J1487"/>
    </row>
    <row r="1488" spans="5:10">
      <c r="E1488"/>
      <c r="J1488"/>
    </row>
    <row r="1489" spans="5:10">
      <c r="E1489"/>
      <c r="J1489"/>
    </row>
    <row r="1490" spans="5:10">
      <c r="E1490"/>
      <c r="J1490"/>
    </row>
    <row r="1491" spans="5:10">
      <c r="E1491"/>
      <c r="J1491"/>
    </row>
    <row r="1492" spans="5:10">
      <c r="E1492"/>
      <c r="J1492"/>
    </row>
    <row r="1493" spans="5:10">
      <c r="E1493"/>
      <c r="J1493"/>
    </row>
    <row r="1494" spans="5:10">
      <c r="E1494"/>
      <c r="J1494"/>
    </row>
    <row r="1495" spans="5:10">
      <c r="E1495"/>
      <c r="J1495"/>
    </row>
    <row r="1496" spans="5:10">
      <c r="E1496"/>
      <c r="J1496"/>
    </row>
    <row r="1497" spans="5:10">
      <c r="E1497"/>
      <c r="J1497"/>
    </row>
    <row r="1498" spans="5:10">
      <c r="E1498"/>
      <c r="J1498"/>
    </row>
    <row r="1499" spans="5:10">
      <c r="E1499"/>
      <c r="J1499"/>
    </row>
    <row r="1500" spans="5:10">
      <c r="E1500"/>
      <c r="J1500"/>
    </row>
    <row r="1501" spans="5:10">
      <c r="E1501"/>
      <c r="J1501"/>
    </row>
    <row r="1502" spans="5:10">
      <c r="E1502"/>
      <c r="J1502"/>
    </row>
    <row r="1503" spans="5:10">
      <c r="E1503"/>
      <c r="J1503"/>
    </row>
    <row r="1504" spans="5:10">
      <c r="E1504"/>
      <c r="J1504"/>
    </row>
    <row r="1505" spans="5:10">
      <c r="E1505"/>
      <c r="J1505"/>
    </row>
    <row r="1506" spans="5:10">
      <c r="E1506"/>
      <c r="J1506"/>
    </row>
    <row r="1507" spans="5:10">
      <c r="E1507"/>
      <c r="J1507"/>
    </row>
    <row r="1508" spans="5:10">
      <c r="E1508"/>
      <c r="J1508"/>
    </row>
    <row r="1509" spans="5:10">
      <c r="E1509"/>
      <c r="J1509"/>
    </row>
    <row r="1510" spans="5:10">
      <c r="E1510"/>
      <c r="J1510"/>
    </row>
    <row r="1511" spans="5:10">
      <c r="E1511"/>
      <c r="J1511"/>
    </row>
    <row r="1512" spans="5:10">
      <c r="E1512"/>
      <c r="J1512"/>
    </row>
    <row r="1513" spans="5:10">
      <c r="E1513"/>
      <c r="J1513"/>
    </row>
    <row r="1514" spans="5:10">
      <c r="E1514"/>
      <c r="J1514"/>
    </row>
    <row r="1515" spans="5:10">
      <c r="E1515"/>
      <c r="J1515"/>
    </row>
    <row r="1516" spans="5:10">
      <c r="E1516"/>
      <c r="J1516"/>
    </row>
    <row r="1517" spans="5:10">
      <c r="E1517"/>
      <c r="J1517"/>
    </row>
    <row r="1518" spans="5:10">
      <c r="E1518"/>
      <c r="J1518"/>
    </row>
    <row r="1519" spans="5:10">
      <c r="E1519"/>
      <c r="J1519"/>
    </row>
    <row r="1520" spans="5:10">
      <c r="E1520"/>
      <c r="J1520"/>
    </row>
    <row r="1521" spans="5:10">
      <c r="E1521"/>
      <c r="J1521"/>
    </row>
    <row r="1522" spans="5:10">
      <c r="E1522"/>
      <c r="J1522"/>
    </row>
    <row r="1523" spans="5:10">
      <c r="E1523"/>
      <c r="J1523"/>
    </row>
    <row r="1524" spans="5:10">
      <c r="E1524"/>
      <c r="J1524"/>
    </row>
    <row r="1525" spans="5:10">
      <c r="E1525"/>
      <c r="J1525"/>
    </row>
    <row r="1526" spans="5:10">
      <c r="E1526"/>
      <c r="J1526"/>
    </row>
    <row r="1527" spans="5:10">
      <c r="E1527"/>
      <c r="J1527"/>
    </row>
    <row r="1528" spans="5:10">
      <c r="E1528"/>
      <c r="J1528"/>
    </row>
    <row r="1529" spans="5:10">
      <c r="E1529"/>
      <c r="J1529"/>
    </row>
    <row r="1530" spans="5:10">
      <c r="E1530"/>
      <c r="J1530"/>
    </row>
    <row r="1531" spans="5:10">
      <c r="E1531"/>
      <c r="J1531"/>
    </row>
    <row r="1532" spans="5:10">
      <c r="E1532"/>
      <c r="J1532"/>
    </row>
    <row r="1533" spans="5:10">
      <c r="E1533"/>
      <c r="J1533"/>
    </row>
    <row r="1534" spans="5:10">
      <c r="E1534"/>
      <c r="J1534"/>
    </row>
    <row r="1535" spans="5:10">
      <c r="E1535"/>
      <c r="J1535"/>
    </row>
    <row r="1536" spans="5:10">
      <c r="E1536"/>
      <c r="J1536"/>
    </row>
    <row r="1537" spans="5:10">
      <c r="E1537"/>
      <c r="J1537"/>
    </row>
    <row r="1538" spans="5:10">
      <c r="E1538"/>
      <c r="J1538"/>
    </row>
    <row r="1539" spans="5:10">
      <c r="E1539"/>
      <c r="J1539"/>
    </row>
    <row r="1540" spans="5:10">
      <c r="E1540"/>
      <c r="J1540"/>
    </row>
    <row r="1541" spans="5:10">
      <c r="E1541"/>
      <c r="J1541"/>
    </row>
    <row r="1542" spans="5:10">
      <c r="E1542"/>
      <c r="J1542"/>
    </row>
    <row r="1543" spans="5:10">
      <c r="E1543"/>
      <c r="J1543"/>
    </row>
    <row r="1544" spans="5:10">
      <c r="E1544"/>
      <c r="J1544"/>
    </row>
    <row r="1545" spans="5:10">
      <c r="E1545"/>
      <c r="J1545"/>
    </row>
    <row r="1546" spans="5:10">
      <c r="E1546"/>
      <c r="J1546"/>
    </row>
    <row r="1547" spans="5:10">
      <c r="E1547"/>
      <c r="J1547"/>
    </row>
    <row r="1548" spans="5:10">
      <c r="E1548"/>
      <c r="J1548"/>
    </row>
    <row r="1549" spans="5:10">
      <c r="E1549"/>
      <c r="J1549"/>
    </row>
    <row r="1550" spans="5:10">
      <c r="E1550"/>
      <c r="J1550"/>
    </row>
    <row r="1551" spans="5:10">
      <c r="E1551"/>
      <c r="J1551"/>
    </row>
    <row r="1552" spans="5:10">
      <c r="E1552"/>
      <c r="J1552"/>
    </row>
    <row r="1553" spans="5:10">
      <c r="E1553"/>
      <c r="J1553"/>
    </row>
    <row r="1554" spans="5:10">
      <c r="E1554"/>
      <c r="J1554"/>
    </row>
    <row r="1555" spans="5:10">
      <c r="E1555"/>
      <c r="J1555"/>
    </row>
    <row r="1556" spans="5:10">
      <c r="E1556"/>
      <c r="J1556"/>
    </row>
    <row r="1557" spans="5:10">
      <c r="E1557"/>
      <c r="J1557"/>
    </row>
    <row r="1558" spans="5:10">
      <c r="E1558"/>
      <c r="J1558"/>
    </row>
    <row r="1559" spans="5:10">
      <c r="E1559"/>
      <c r="J1559"/>
    </row>
    <row r="1560" spans="5:10">
      <c r="E1560"/>
      <c r="J1560"/>
    </row>
    <row r="1561" spans="5:10">
      <c r="E1561"/>
      <c r="J1561"/>
    </row>
    <row r="1562" spans="5:10">
      <c r="E1562"/>
      <c r="J1562"/>
    </row>
    <row r="1563" spans="5:10">
      <c r="E1563"/>
      <c r="J1563"/>
    </row>
    <row r="1564" spans="5:10">
      <c r="E1564"/>
      <c r="J1564"/>
    </row>
    <row r="1565" spans="5:10">
      <c r="E1565"/>
      <c r="J1565"/>
    </row>
    <row r="1566" spans="5:10">
      <c r="E1566"/>
      <c r="J1566"/>
    </row>
    <row r="1567" spans="5:10">
      <c r="E1567"/>
      <c r="J1567"/>
    </row>
    <row r="1568" spans="5:10">
      <c r="E1568"/>
      <c r="J1568"/>
    </row>
    <row r="1569" spans="5:10">
      <c r="E1569"/>
      <c r="J1569"/>
    </row>
    <row r="1570" spans="5:10">
      <c r="E1570"/>
      <c r="J1570"/>
    </row>
    <row r="1571" spans="5:10">
      <c r="E1571"/>
      <c r="J1571"/>
    </row>
    <row r="1572" spans="5:10">
      <c r="E1572"/>
      <c r="J1572"/>
    </row>
    <row r="1573" spans="5:10">
      <c r="E1573"/>
      <c r="J1573"/>
    </row>
    <row r="1574" spans="5:10">
      <c r="E1574"/>
      <c r="J1574"/>
    </row>
    <row r="1575" spans="5:10">
      <c r="E1575"/>
      <c r="J1575"/>
    </row>
    <row r="1576" spans="5:10">
      <c r="E1576"/>
      <c r="J1576"/>
    </row>
    <row r="1577" spans="5:10">
      <c r="E1577"/>
      <c r="J1577"/>
    </row>
    <row r="1578" spans="5:10">
      <c r="E1578"/>
      <c r="J1578"/>
    </row>
    <row r="1579" spans="5:10">
      <c r="E1579"/>
      <c r="J1579"/>
    </row>
    <row r="1580" spans="5:10">
      <c r="E1580"/>
      <c r="J1580"/>
    </row>
    <row r="1581" spans="5:10">
      <c r="E1581"/>
      <c r="J1581"/>
    </row>
    <row r="1582" spans="5:10">
      <c r="E1582"/>
      <c r="J1582"/>
    </row>
    <row r="1583" spans="5:10">
      <c r="E1583"/>
      <c r="J1583"/>
    </row>
    <row r="1584" spans="5:10">
      <c r="E1584"/>
      <c r="J1584"/>
    </row>
    <row r="1585" spans="5:10">
      <c r="E1585"/>
      <c r="J1585"/>
    </row>
    <row r="1586" spans="5:10">
      <c r="E1586"/>
      <c r="J1586"/>
    </row>
    <row r="1587" spans="5:10">
      <c r="E1587"/>
      <c r="J1587"/>
    </row>
    <row r="1588" spans="5:10">
      <c r="E1588"/>
      <c r="J1588"/>
    </row>
    <row r="1589" spans="5:10">
      <c r="E1589"/>
      <c r="J1589"/>
    </row>
    <row r="1590" spans="5:10">
      <c r="E1590"/>
      <c r="J1590"/>
    </row>
    <row r="1591" spans="5:10">
      <c r="E1591"/>
      <c r="J1591"/>
    </row>
    <row r="1592" spans="5:10">
      <c r="E1592"/>
      <c r="J1592"/>
    </row>
    <row r="1593" spans="5:10">
      <c r="E1593"/>
      <c r="J1593"/>
    </row>
    <row r="1594" spans="5:10">
      <c r="E1594"/>
      <c r="J1594"/>
    </row>
    <row r="1595" spans="5:10">
      <c r="E1595"/>
      <c r="J1595"/>
    </row>
    <row r="1596" spans="5:10">
      <c r="E1596"/>
      <c r="J1596"/>
    </row>
    <row r="1597" spans="5:10">
      <c r="E1597"/>
      <c r="J1597"/>
    </row>
    <row r="1598" spans="5:10">
      <c r="E1598"/>
      <c r="J1598"/>
    </row>
    <row r="1599" spans="5:10">
      <c r="E1599"/>
      <c r="J1599"/>
    </row>
    <row r="1600" spans="5:10">
      <c r="E1600"/>
      <c r="J1600"/>
    </row>
    <row r="1601" spans="5:10">
      <c r="E1601"/>
      <c r="J1601"/>
    </row>
    <row r="1602" spans="5:10">
      <c r="E1602"/>
      <c r="J1602"/>
    </row>
    <row r="1603" spans="5:10">
      <c r="E1603"/>
      <c r="J1603"/>
    </row>
    <row r="1604" spans="5:10">
      <c r="E1604"/>
      <c r="J1604"/>
    </row>
    <row r="1605" spans="5:10">
      <c r="E1605"/>
      <c r="J1605"/>
    </row>
    <row r="1606" spans="5:10">
      <c r="E1606"/>
      <c r="J1606"/>
    </row>
    <row r="1607" spans="5:10">
      <c r="E1607"/>
      <c r="J1607"/>
    </row>
    <row r="1608" spans="5:10">
      <c r="E1608"/>
      <c r="J1608"/>
    </row>
    <row r="1609" spans="5:10">
      <c r="E1609"/>
      <c r="J1609"/>
    </row>
    <row r="1610" spans="5:10">
      <c r="E1610"/>
      <c r="J1610"/>
    </row>
    <row r="1611" spans="5:10">
      <c r="E1611"/>
      <c r="J1611"/>
    </row>
    <row r="1612" spans="5:10">
      <c r="E1612"/>
      <c r="J1612"/>
    </row>
    <row r="1613" spans="5:10">
      <c r="E1613"/>
      <c r="J1613"/>
    </row>
    <row r="1614" spans="5:10">
      <c r="E1614"/>
      <c r="J1614"/>
    </row>
    <row r="1615" spans="5:10">
      <c r="E1615"/>
      <c r="J1615"/>
    </row>
    <row r="1616" spans="5:10">
      <c r="E1616"/>
      <c r="J1616"/>
    </row>
    <row r="1617" spans="5:10">
      <c r="E1617"/>
      <c r="J1617"/>
    </row>
    <row r="1618" spans="5:10">
      <c r="E1618"/>
      <c r="J1618"/>
    </row>
    <row r="1619" spans="5:10">
      <c r="E1619"/>
      <c r="J1619"/>
    </row>
    <row r="1620" spans="5:10">
      <c r="E1620"/>
      <c r="J1620"/>
    </row>
    <row r="1621" spans="5:10">
      <c r="E1621"/>
      <c r="J1621"/>
    </row>
    <row r="1622" spans="5:10">
      <c r="E1622"/>
      <c r="J1622"/>
    </row>
    <row r="1623" spans="5:10">
      <c r="E1623"/>
      <c r="J1623"/>
    </row>
    <row r="1624" spans="5:10">
      <c r="E1624"/>
      <c r="J1624"/>
    </row>
    <row r="1625" spans="5:10">
      <c r="E1625"/>
      <c r="J1625"/>
    </row>
    <row r="1626" spans="5:10">
      <c r="E1626"/>
      <c r="J1626"/>
    </row>
    <row r="1627" spans="5:10">
      <c r="E1627"/>
      <c r="J1627"/>
    </row>
    <row r="1628" spans="5:10">
      <c r="E1628"/>
      <c r="J1628"/>
    </row>
    <row r="1629" spans="5:10">
      <c r="E1629"/>
      <c r="J1629"/>
    </row>
    <row r="1630" spans="5:10">
      <c r="E1630"/>
      <c r="J1630"/>
    </row>
    <row r="1631" spans="5:10">
      <c r="E1631"/>
      <c r="J1631"/>
    </row>
    <row r="1632" spans="5:10">
      <c r="E1632"/>
      <c r="J1632"/>
    </row>
    <row r="1633" spans="5:10">
      <c r="E1633"/>
      <c r="J1633"/>
    </row>
    <row r="1634" spans="5:10">
      <c r="E1634"/>
      <c r="J1634"/>
    </row>
    <row r="1635" spans="5:10">
      <c r="E1635"/>
      <c r="J1635"/>
    </row>
    <row r="1636" spans="5:10">
      <c r="E1636"/>
      <c r="J1636"/>
    </row>
    <row r="1637" spans="5:10">
      <c r="E1637"/>
      <c r="J1637"/>
    </row>
    <row r="1638" spans="5:10">
      <c r="E1638"/>
      <c r="J1638"/>
    </row>
    <row r="1639" spans="5:10">
      <c r="E1639"/>
      <c r="J1639"/>
    </row>
    <row r="1640" spans="5:10">
      <c r="E1640"/>
      <c r="J1640"/>
    </row>
    <row r="1641" spans="5:10">
      <c r="E1641"/>
      <c r="J1641"/>
    </row>
    <row r="1642" spans="5:10">
      <c r="E1642"/>
      <c r="J1642"/>
    </row>
    <row r="1643" spans="5:10">
      <c r="E1643"/>
      <c r="J1643"/>
    </row>
    <row r="1644" spans="5:10">
      <c r="E1644"/>
      <c r="J1644"/>
    </row>
    <row r="1645" spans="5:10">
      <c r="E1645"/>
      <c r="J1645"/>
    </row>
    <row r="1646" spans="5:10">
      <c r="E1646"/>
      <c r="J1646"/>
    </row>
    <row r="1647" spans="5:10">
      <c r="E1647"/>
      <c r="J1647"/>
    </row>
    <row r="1648" spans="5:10">
      <c r="E1648"/>
      <c r="J1648"/>
    </row>
    <row r="1649" spans="5:10">
      <c r="E1649"/>
      <c r="J1649"/>
    </row>
    <row r="1650" spans="5:10">
      <c r="E1650"/>
      <c r="J1650"/>
    </row>
    <row r="1651" spans="5:10">
      <c r="E1651"/>
      <c r="J1651"/>
    </row>
    <row r="1652" spans="5:10">
      <c r="E1652"/>
      <c r="J1652"/>
    </row>
    <row r="1653" spans="5:10">
      <c r="E1653"/>
      <c r="J1653"/>
    </row>
    <row r="1654" spans="5:10">
      <c r="E1654"/>
      <c r="J1654"/>
    </row>
    <row r="1655" spans="5:10">
      <c r="E1655"/>
      <c r="J1655"/>
    </row>
    <row r="1656" spans="5:10">
      <c r="E1656"/>
      <c r="J1656"/>
    </row>
    <row r="1657" spans="5:10">
      <c r="E1657"/>
      <c r="J1657"/>
    </row>
    <row r="1658" spans="5:10">
      <c r="E1658"/>
      <c r="J1658"/>
    </row>
    <row r="1659" spans="5:10">
      <c r="E1659"/>
      <c r="J1659"/>
    </row>
    <row r="1660" spans="5:10">
      <c r="E1660"/>
      <c r="J1660"/>
    </row>
    <row r="1661" spans="5:10">
      <c r="E1661"/>
      <c r="J1661"/>
    </row>
    <row r="1662" spans="5:10">
      <c r="E1662"/>
      <c r="J1662"/>
    </row>
    <row r="1663" spans="5:10">
      <c r="E1663"/>
      <c r="J1663"/>
    </row>
    <row r="1664" spans="5:10">
      <c r="E1664"/>
      <c r="J1664"/>
    </row>
    <row r="1665" spans="5:10">
      <c r="E1665"/>
      <c r="J1665"/>
    </row>
    <row r="1666" spans="5:10">
      <c r="E1666"/>
      <c r="J1666"/>
    </row>
    <row r="1667" spans="5:10">
      <c r="E1667"/>
      <c r="J1667"/>
    </row>
    <row r="1668" spans="5:10">
      <c r="E1668"/>
      <c r="J1668"/>
    </row>
    <row r="1669" spans="5:10">
      <c r="E1669"/>
      <c r="J1669"/>
    </row>
    <row r="1670" spans="5:10">
      <c r="E1670"/>
      <c r="J1670"/>
    </row>
    <row r="1671" spans="5:10">
      <c r="E1671"/>
      <c r="J1671"/>
    </row>
    <row r="1672" spans="5:10">
      <c r="E1672"/>
      <c r="J1672"/>
    </row>
    <row r="1673" spans="5:10">
      <c r="E1673"/>
      <c r="J1673"/>
    </row>
    <row r="1674" spans="5:10">
      <c r="E1674"/>
      <c r="J1674"/>
    </row>
    <row r="1675" spans="5:10">
      <c r="E1675"/>
      <c r="J1675"/>
    </row>
  </sheetData>
  <mergeCells count="25">
    <mergeCell ref="M38:N38"/>
    <mergeCell ref="P38:P39"/>
    <mergeCell ref="Q38:Q39"/>
    <mergeCell ref="P33:Q33"/>
    <mergeCell ref="R38:S39"/>
    <mergeCell ref="P35:Q35"/>
    <mergeCell ref="P36:Q36"/>
    <mergeCell ref="P37:Q37"/>
    <mergeCell ref="P34:Q34"/>
    <mergeCell ref="R7:S9"/>
    <mergeCell ref="P20:Q20"/>
    <mergeCell ref="R20:S20"/>
    <mergeCell ref="A1:D1"/>
    <mergeCell ref="F1:I1"/>
    <mergeCell ref="P1:S1"/>
    <mergeCell ref="C2:D3"/>
    <mergeCell ref="H2:I3"/>
    <mergeCell ref="M2:N3"/>
    <mergeCell ref="R2:S3"/>
    <mergeCell ref="P10:S10"/>
    <mergeCell ref="P32:Q32"/>
    <mergeCell ref="P31:Q31"/>
    <mergeCell ref="R31:S31"/>
    <mergeCell ref="P11:Q11"/>
    <mergeCell ref="R11:S11"/>
  </mergeCells>
  <conditionalFormatting sqref="S12:S17">
    <cfRule type="cellIs" dxfId="23" priority="24" operator="equal">
      <formula>$S$18</formula>
    </cfRule>
  </conditionalFormatting>
  <conditionalFormatting sqref="N17:N18">
    <cfRule type="cellIs" dxfId="22" priority="21" stopIfTrue="1" operator="greaterThan">
      <formula>$N$16</formula>
    </cfRule>
  </conditionalFormatting>
  <conditionalFormatting sqref="N15">
    <cfRule type="cellIs" dxfId="21" priority="20" operator="greaterThan">
      <formula>$N$17</formula>
    </cfRule>
  </conditionalFormatting>
  <conditionalFormatting sqref="N17">
    <cfRule type="cellIs" dxfId="20" priority="19" operator="lessThan">
      <formula>$N$16</formula>
    </cfRule>
  </conditionalFormatting>
  <conditionalFormatting sqref="N15">
    <cfRule type="cellIs" dxfId="19" priority="18" operator="equal">
      <formula>$N$17</formula>
    </cfRule>
  </conditionalFormatting>
  <conditionalFormatting sqref="N15">
    <cfRule type="cellIs" dxfId="18" priority="17" operator="lessThan">
      <formula>$N$17</formula>
    </cfRule>
  </conditionalFormatting>
  <conditionalFormatting sqref="N18">
    <cfRule type="cellIs" dxfId="17" priority="16" operator="lessThan">
      <formula>$N$16</formula>
    </cfRule>
  </conditionalFormatting>
  <conditionalFormatting sqref="N18">
    <cfRule type="cellIs" dxfId="16" priority="15" operator="equal">
      <formula>$N$17</formula>
    </cfRule>
  </conditionalFormatting>
  <conditionalFormatting sqref="N19">
    <cfRule type="containsErrors" dxfId="15" priority="14">
      <formula>ISERROR(N19)</formula>
    </cfRule>
  </conditionalFormatting>
  <conditionalFormatting sqref="L15">
    <cfRule type="containsText" dxfId="14" priority="13" operator="containsText" text="-">
      <formula>NOT(ISERROR(SEARCH("-",L15)))</formula>
    </cfRule>
  </conditionalFormatting>
  <conditionalFormatting sqref="L15">
    <cfRule type="notContainsText" dxfId="13" priority="12" operator="notContains" text="-">
      <formula>ISERROR(SEARCH("-",L15))</formula>
    </cfRule>
  </conditionalFormatting>
  <conditionalFormatting sqref="L15">
    <cfRule type="cellIs" dxfId="12" priority="11" operator="equal">
      <formula>0</formula>
    </cfRule>
  </conditionalFormatting>
  <conditionalFormatting sqref="N26">
    <cfRule type="containsText" dxfId="11" priority="9" operator="containsText" text="-">
      <formula>NOT(ISERROR(SEARCH("-",N26)))</formula>
    </cfRule>
    <cfRule type="cellIs" dxfId="10" priority="10" operator="greaterThan">
      <formula>0</formula>
    </cfRule>
  </conditionalFormatting>
  <conditionalFormatting sqref="N25">
    <cfRule type="containsText" dxfId="9" priority="7" operator="containsText" text="-">
      <formula>NOT(ISERROR(SEARCH("-",N25)))</formula>
    </cfRule>
  </conditionalFormatting>
  <conditionalFormatting sqref="N25">
    <cfRule type="cellIs" dxfId="8" priority="8" operator="greaterThan">
      <formula>0</formula>
    </cfRule>
  </conditionalFormatting>
  <conditionalFormatting sqref="L15">
    <cfRule type="containsErrors" dxfId="7" priority="6">
      <formula>ISERROR(L15)</formula>
    </cfRule>
  </conditionalFormatting>
  <conditionalFormatting sqref="N25">
    <cfRule type="containsText" dxfId="6" priority="5" operator="containsText" text="0:00">
      <formula>NOT(ISERROR(SEARCH("0:00",N25)))</formula>
    </cfRule>
  </conditionalFormatting>
  <conditionalFormatting sqref="N26">
    <cfRule type="containsText" dxfId="5" priority="4" operator="containsText" text="0:00">
      <formula>NOT(ISERROR(SEARCH("0:00",N26)))</formula>
    </cfRule>
  </conditionalFormatting>
  <conditionalFormatting sqref="N27">
    <cfRule type="cellIs" dxfId="4" priority="3" operator="greaterThan">
      <formula>0</formula>
    </cfRule>
  </conditionalFormatting>
  <conditionalFormatting sqref="N27">
    <cfRule type="cellIs" dxfId="3" priority="2" operator="equal">
      <formula>0</formula>
    </cfRule>
  </conditionalFormatting>
  <conditionalFormatting sqref="N27">
    <cfRule type="containsText" dxfId="2" priority="1" operator="containsText" text="-">
      <formula>NOT(ISERROR(SEARCH("-",N27)))</formula>
    </cfRule>
  </conditionalFormatting>
  <conditionalFormatting sqref="N29">
    <cfRule type="cellIs" dxfId="1" priority="22" operator="greaterThan">
      <formula>$N$28</formula>
    </cfRule>
  </conditionalFormatting>
  <conditionalFormatting sqref="N29">
    <cfRule type="cellIs" dxfId="0" priority="23" operator="lessThan">
      <formula>$N$28</formula>
    </cfRule>
  </conditionalFormatting>
  <pageMargins left="0.75" right="0.75" top="1" bottom="1" header="0.5" footer="0.5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AC29-4CF3-4C9C-B411-CB00F2CF9B2C}">
  <dimension ref="A1:C8"/>
  <sheetViews>
    <sheetView workbookViewId="0">
      <selection activeCell="K31" sqref="K31"/>
    </sheetView>
  </sheetViews>
  <sheetFormatPr defaultRowHeight="15"/>
  <cols>
    <col min="1" max="1" width="18" customWidth="1"/>
    <col min="3" max="3" width="1.7109375" customWidth="1"/>
  </cols>
  <sheetData>
    <row r="1" spans="1:3">
      <c r="A1" s="317" t="s">
        <v>5</v>
      </c>
      <c r="B1" s="317"/>
      <c r="C1" s="2"/>
    </row>
    <row r="2" spans="1:3">
      <c r="A2" s="27" t="s">
        <v>0</v>
      </c>
      <c r="B2" s="83">
        <v>178</v>
      </c>
      <c r="C2" s="2">
        <v>48</v>
      </c>
    </row>
    <row r="3" spans="1:3">
      <c r="A3" s="28" t="s">
        <v>1</v>
      </c>
      <c r="B3" s="84">
        <v>73</v>
      </c>
      <c r="C3" s="2"/>
    </row>
    <row r="4" spans="1:3">
      <c r="A4" s="29" t="s">
        <v>2</v>
      </c>
      <c r="B4" s="84">
        <v>108</v>
      </c>
      <c r="C4" s="2"/>
    </row>
    <row r="5" spans="1:3">
      <c r="A5" s="30" t="s">
        <v>18</v>
      </c>
      <c r="B5" s="84">
        <v>449</v>
      </c>
      <c r="C5" s="2"/>
    </row>
    <row r="6" spans="1:3">
      <c r="A6" s="31" t="s">
        <v>19</v>
      </c>
      <c r="B6" s="84">
        <v>401</v>
      </c>
      <c r="C6" s="2"/>
    </row>
    <row r="7" spans="1:3">
      <c r="A7" s="32" t="s">
        <v>3</v>
      </c>
      <c r="B7" s="84">
        <v>32</v>
      </c>
      <c r="C7" s="2"/>
    </row>
    <row r="8" spans="1:3" ht="9" customHeight="1">
      <c r="A8" s="2"/>
      <c r="B8" s="2"/>
      <c r="C8" s="2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YV3TFWO3UPC25S2ZLRDKNL2FAMX67UP7:ms-officescript%3A%2F%2Fonedrive_business_sharinglink%2Fu!aHR0cHM6Ly9rZXNrb2dyb3VwLW15LnNoYXJlcG9pbnQuY29tLzp1Oi9nL3BlcnNvbmFsL2plc3NlX2FncmVuX2NpdHltYXJrZXRfZmkvSVFEYm84V3V5MWxjUnFhdlJRTXY3OUhfQVEzTGNtWTBjd3NQazFFVEI2X20zTkk"/>
</scriptIds>
</file>

<file path=customXml/itemProps1.xml><?xml version="1.0" encoding="utf-8"?>
<ds:datastoreItem xmlns:ds="http://schemas.openxmlformats.org/officeDocument/2006/customXml" ds:itemID="{7B7DF4A8-8AF2-45FD-A04B-A0D22C8C4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Ågrén Jesse</dc:creator>
  <cp:keywords/>
  <dc:description/>
  <cp:lastModifiedBy>Ågrén Jesse</cp:lastModifiedBy>
  <cp:revision/>
  <dcterms:created xsi:type="dcterms:W3CDTF">2026-09-03T06:46:59Z</dcterms:created>
  <dcterms:modified xsi:type="dcterms:W3CDTF">2026-10-20T06:29:45Z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2026-09-11T03:33:17Z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1ba564c4-3516-4aad-b5a7-ae1dedd20176</vt:lpwstr>
  </property>
  <property fmtid="{D5CDD505-2E9C-101B-9397-08002B2CF9AE}" pid="8" name="MSIP_Label_f914aa28-8067-4004-849a-93ab903c078e_ContentBits">
    <vt:lpwstr>0</vt:lpwstr>
  </property>
  <property fmtid="{D5CDD505-2E9C-101B-9397-08002B2CF9AE}" pid="9" name="MSIP_Label_f914aa28-8067-4004-849a-93ab903c078e_Tag">
    <vt:lpwstr>10, 3, 0, 2</vt:lpwstr>
  </property>
</Properties>
</file>