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keskogroup-my.sharepoint.com/personal/jesse_agren_citymarket_fi/Documents/Keräysraportointi/"/>
    </mc:Choice>
  </mc:AlternateContent>
  <xr:revisionPtr revIDLastSave="0" documentId="8_{99B4575E-80D8-4A79-B149-EFCE6A378F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LTA" sheetId="10" r:id="rId1"/>
    <sheet name="AAMU" sheetId="8" r:id="rId2"/>
    <sheet name="Alkuperäinen" sheetId="5" state="hidden" r:id="rId3"/>
    <sheet name="Vanhempi versio" sheetId="6" state="hidden" r:id="rId4"/>
    <sheet name="BACKUP" sheetId="11" state="hidden" r:id="rId5"/>
    <sheet name="EN" sheetId="12" state="hidden" r:id="rId6"/>
    <sheet name="Keräysteho kplh" sheetId="2" r:id="rId7"/>
    <sheet name="Tehtävälista" sheetId="14" r:id="rId8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0" l="1"/>
  <c r="K8" i="10"/>
  <c r="K7" i="10"/>
  <c r="K6" i="10"/>
  <c r="K5" i="10"/>
  <c r="F9" i="10"/>
  <c r="F8" i="10"/>
  <c r="F7" i="10"/>
  <c r="F6" i="10"/>
  <c r="F5" i="10"/>
  <c r="A9" i="10"/>
  <c r="A8" i="10"/>
  <c r="A7" i="10"/>
  <c r="A6" i="10"/>
  <c r="A5" i="10"/>
  <c r="A23" i="10"/>
  <c r="A22" i="10"/>
  <c r="A21" i="10"/>
  <c r="A20" i="10"/>
  <c r="A19" i="10"/>
  <c r="F19" i="10"/>
  <c r="F20" i="10"/>
  <c r="F21" i="10"/>
  <c r="F22" i="10"/>
  <c r="F23" i="10"/>
  <c r="P38" i="8"/>
  <c r="L38" i="8"/>
  <c r="L39" i="8" s="1"/>
  <c r="G37" i="8"/>
  <c r="G38" i="8" s="1"/>
  <c r="B37" i="8"/>
  <c r="B38" i="8" s="1"/>
  <c r="I36" i="8"/>
  <c r="D36" i="8"/>
  <c r="L34" i="8"/>
  <c r="G31" i="8"/>
  <c r="G32" i="8" s="1"/>
  <c r="B31" i="8"/>
  <c r="B32" i="8" s="1"/>
  <c r="I27" i="8"/>
  <c r="R38" i="8" s="1"/>
  <c r="D27" i="8"/>
  <c r="L25" i="8"/>
  <c r="L24" i="8"/>
  <c r="K24" i="8"/>
  <c r="I24" i="8"/>
  <c r="D24" i="8"/>
  <c r="L23" i="8"/>
  <c r="K23" i="8"/>
  <c r="F23" i="8"/>
  <c r="A23" i="8"/>
  <c r="L22" i="8"/>
  <c r="K22" i="8"/>
  <c r="F22" i="8"/>
  <c r="A22" i="8"/>
  <c r="S21" i="8"/>
  <c r="L21" i="8"/>
  <c r="K21" i="8"/>
  <c r="F21" i="8"/>
  <c r="A21" i="8"/>
  <c r="L20" i="8"/>
  <c r="K20" i="8"/>
  <c r="F20" i="8"/>
  <c r="A20" i="8"/>
  <c r="F19" i="8"/>
  <c r="H19" i="8" s="1"/>
  <c r="I19" i="8" s="1"/>
  <c r="A19" i="8"/>
  <c r="Q18" i="8"/>
  <c r="G17" i="8"/>
  <c r="B17" i="8"/>
  <c r="G16" i="8"/>
  <c r="B16" i="8"/>
  <c r="N13" i="8"/>
  <c r="I13" i="8"/>
  <c r="D13" i="8"/>
  <c r="N10" i="8"/>
  <c r="N33" i="8" s="1"/>
  <c r="I10" i="8"/>
  <c r="D30" i="8" s="1"/>
  <c r="D10" i="8"/>
  <c r="I30" i="8" s="1"/>
  <c r="K9" i="8"/>
  <c r="F9" i="8"/>
  <c r="A9" i="8"/>
  <c r="K8" i="8"/>
  <c r="F8" i="8"/>
  <c r="A8" i="8"/>
  <c r="K7" i="8"/>
  <c r="F7" i="8"/>
  <c r="H7" i="8" s="1"/>
  <c r="I7" i="8" s="1"/>
  <c r="A7" i="8"/>
  <c r="S6" i="8"/>
  <c r="N37" i="8" s="1"/>
  <c r="K6" i="8"/>
  <c r="M6" i="8" s="1"/>
  <c r="N6" i="8" s="1"/>
  <c r="F6" i="8"/>
  <c r="H6" i="8" s="1"/>
  <c r="I6" i="8" s="1"/>
  <c r="A6" i="8"/>
  <c r="C6" i="8" s="1"/>
  <c r="D6" i="8" s="1"/>
  <c r="K5" i="8"/>
  <c r="F5" i="8"/>
  <c r="A5" i="8"/>
  <c r="Q3" i="8"/>
  <c r="L3" i="8"/>
  <c r="G3" i="8"/>
  <c r="B3" i="8"/>
  <c r="Q2" i="8"/>
  <c r="L2" i="8"/>
  <c r="G2" i="8"/>
  <c r="B2" i="8"/>
  <c r="P38" i="10"/>
  <c r="L38" i="10"/>
  <c r="L39" i="10" s="1"/>
  <c r="G37" i="10"/>
  <c r="G38" i="10" s="1"/>
  <c r="S26" i="10" s="1"/>
  <c r="B37" i="10"/>
  <c r="B38" i="10" s="1"/>
  <c r="I36" i="10"/>
  <c r="D36" i="10"/>
  <c r="L34" i="10"/>
  <c r="G31" i="10"/>
  <c r="G32" i="10" s="1"/>
  <c r="B31" i="10"/>
  <c r="B32" i="10" s="1"/>
  <c r="I27" i="10"/>
  <c r="D27" i="10"/>
  <c r="L25" i="10"/>
  <c r="L24" i="10"/>
  <c r="K24" i="10"/>
  <c r="I24" i="10"/>
  <c r="D24" i="10"/>
  <c r="L23" i="10"/>
  <c r="K23" i="10"/>
  <c r="L22" i="10"/>
  <c r="K22" i="10"/>
  <c r="S21" i="10"/>
  <c r="L21" i="10"/>
  <c r="K21" i="10"/>
  <c r="L20" i="10"/>
  <c r="K20" i="10"/>
  <c r="H19" i="10"/>
  <c r="I19" i="10" s="1"/>
  <c r="C19" i="10"/>
  <c r="D19" i="10" s="1"/>
  <c r="Q18" i="10"/>
  <c r="G17" i="10"/>
  <c r="B17" i="10"/>
  <c r="G16" i="10"/>
  <c r="B16" i="10"/>
  <c r="N13" i="10"/>
  <c r="I13" i="10"/>
  <c r="D13" i="10"/>
  <c r="N10" i="10"/>
  <c r="N33" i="10" s="1"/>
  <c r="I10" i="10"/>
  <c r="D30" i="10" s="1"/>
  <c r="D10" i="10"/>
  <c r="I30" i="10" s="1"/>
  <c r="C8" i="10"/>
  <c r="S6" i="10"/>
  <c r="N37" i="10" s="1"/>
  <c r="M6" i="10"/>
  <c r="N6" i="10" s="1"/>
  <c r="C6" i="10"/>
  <c r="D6" i="10" s="1"/>
  <c r="Q3" i="10"/>
  <c r="L3" i="10"/>
  <c r="G3" i="10"/>
  <c r="B3" i="10"/>
  <c r="Q2" i="10"/>
  <c r="L2" i="10"/>
  <c r="G2" i="10"/>
  <c r="B2" i="10"/>
  <c r="P38" i="12"/>
  <c r="L38" i="12"/>
  <c r="L39" i="12" s="1"/>
  <c r="S27" i="12" s="1"/>
  <c r="G37" i="12"/>
  <c r="G38" i="12" s="1"/>
  <c r="B37" i="12"/>
  <c r="B38" i="12" s="1"/>
  <c r="S25" i="12" s="1"/>
  <c r="I36" i="12"/>
  <c r="D36" i="12"/>
  <c r="L34" i="12"/>
  <c r="G31" i="12"/>
  <c r="G32" i="12" s="1"/>
  <c r="S23" i="12" s="1"/>
  <c r="B31" i="12"/>
  <c r="B32" i="12" s="1"/>
  <c r="S22" i="12" s="1"/>
  <c r="I27" i="12"/>
  <c r="R38" i="12" s="1"/>
  <c r="D27" i="12"/>
  <c r="S26" i="12"/>
  <c r="L25" i="12"/>
  <c r="L24" i="12"/>
  <c r="K24" i="12"/>
  <c r="I24" i="12"/>
  <c r="D24" i="12"/>
  <c r="L23" i="12"/>
  <c r="K23" i="12"/>
  <c r="F23" i="12"/>
  <c r="A23" i="12"/>
  <c r="L22" i="12"/>
  <c r="K22" i="12"/>
  <c r="F22" i="12"/>
  <c r="A22" i="12"/>
  <c r="S21" i="12"/>
  <c r="L21" i="12"/>
  <c r="K21" i="12"/>
  <c r="F21" i="12"/>
  <c r="A21" i="12"/>
  <c r="L20" i="12"/>
  <c r="K20" i="12"/>
  <c r="F20" i="12"/>
  <c r="A20" i="12"/>
  <c r="F19" i="12"/>
  <c r="A19" i="12"/>
  <c r="Q18" i="12"/>
  <c r="G17" i="12"/>
  <c r="B17" i="12"/>
  <c r="G16" i="12"/>
  <c r="B16" i="12"/>
  <c r="N13" i="12"/>
  <c r="I13" i="12"/>
  <c r="D13" i="12"/>
  <c r="N10" i="12"/>
  <c r="N33" i="12" s="1"/>
  <c r="I10" i="12"/>
  <c r="I30" i="12" s="1"/>
  <c r="D10" i="12"/>
  <c r="D30" i="12" s="1"/>
  <c r="K9" i="12"/>
  <c r="F9" i="12"/>
  <c r="A9" i="12"/>
  <c r="K8" i="12"/>
  <c r="F8" i="12"/>
  <c r="A8" i="12"/>
  <c r="K7" i="12"/>
  <c r="F7" i="12"/>
  <c r="A7" i="12"/>
  <c r="S6" i="12"/>
  <c r="N37" i="12" s="1"/>
  <c r="K6" i="12"/>
  <c r="F6" i="12"/>
  <c r="A6" i="12"/>
  <c r="C6" i="12" s="1"/>
  <c r="D6" i="12" s="1"/>
  <c r="K5" i="12"/>
  <c r="F5" i="12"/>
  <c r="A5" i="12"/>
  <c r="Q3" i="12"/>
  <c r="L3" i="12"/>
  <c r="G3" i="12"/>
  <c r="B3" i="12"/>
  <c r="Q2" i="12"/>
  <c r="L2" i="12"/>
  <c r="G2" i="12"/>
  <c r="B2" i="12"/>
  <c r="P38" i="11"/>
  <c r="L38" i="11"/>
  <c r="L39" i="11" s="1"/>
  <c r="S27" i="11" s="1"/>
  <c r="G37" i="11"/>
  <c r="G38" i="11" s="1"/>
  <c r="B37" i="11"/>
  <c r="B38" i="11" s="1"/>
  <c r="S25" i="11" s="1"/>
  <c r="I36" i="11"/>
  <c r="D36" i="11"/>
  <c r="L34" i="11"/>
  <c r="G31" i="11"/>
  <c r="G32" i="11" s="1"/>
  <c r="S23" i="11" s="1"/>
  <c r="B31" i="11"/>
  <c r="B32" i="11" s="1"/>
  <c r="S22" i="11" s="1"/>
  <c r="I27" i="11"/>
  <c r="R38" i="11" s="1"/>
  <c r="D27" i="11"/>
  <c r="S26" i="11"/>
  <c r="L25" i="11"/>
  <c r="L24" i="11"/>
  <c r="K24" i="11"/>
  <c r="I24" i="11"/>
  <c r="D24" i="11"/>
  <c r="L23" i="11"/>
  <c r="K23" i="11"/>
  <c r="F23" i="11"/>
  <c r="A23" i="11"/>
  <c r="L22" i="11"/>
  <c r="K22" i="11"/>
  <c r="F22" i="11"/>
  <c r="A22" i="11"/>
  <c r="S21" i="11"/>
  <c r="L21" i="11"/>
  <c r="K21" i="11"/>
  <c r="F21" i="11"/>
  <c r="A21" i="11"/>
  <c r="L20" i="11"/>
  <c r="K20" i="11"/>
  <c r="F20" i="11"/>
  <c r="A20" i="11"/>
  <c r="F19" i="11"/>
  <c r="A19" i="11"/>
  <c r="Q18" i="11"/>
  <c r="G17" i="11"/>
  <c r="B17" i="11"/>
  <c r="G16" i="11"/>
  <c r="B16" i="11"/>
  <c r="N13" i="11"/>
  <c r="I13" i="11"/>
  <c r="D13" i="11"/>
  <c r="N10" i="11"/>
  <c r="N33" i="11" s="1"/>
  <c r="I10" i="11"/>
  <c r="I30" i="11" s="1"/>
  <c r="D10" i="11"/>
  <c r="D30" i="11" s="1"/>
  <c r="K9" i="11"/>
  <c r="F9" i="11"/>
  <c r="A9" i="11"/>
  <c r="K8" i="11"/>
  <c r="F8" i="11"/>
  <c r="A8" i="11"/>
  <c r="K7" i="11"/>
  <c r="F7" i="11"/>
  <c r="A7" i="11"/>
  <c r="S6" i="11"/>
  <c r="N37" i="11" s="1"/>
  <c r="K6" i="11"/>
  <c r="F6" i="11"/>
  <c r="A6" i="11"/>
  <c r="K5" i="11"/>
  <c r="F5" i="11"/>
  <c r="A5" i="11"/>
  <c r="Q3" i="11"/>
  <c r="L3" i="11"/>
  <c r="G3" i="11"/>
  <c r="B3" i="11"/>
  <c r="Q2" i="11"/>
  <c r="L2" i="11"/>
  <c r="G2" i="11"/>
  <c r="B2" i="11"/>
  <c r="Q47" i="6"/>
  <c r="L45" i="6"/>
  <c r="L46" i="6" s="1"/>
  <c r="S28" i="6" s="1"/>
  <c r="G45" i="6"/>
  <c r="G46" i="6" s="1"/>
  <c r="S27" i="6" s="1"/>
  <c r="B45" i="6"/>
  <c r="B46" i="6" s="1"/>
  <c r="S26" i="6" s="1"/>
  <c r="I44" i="6"/>
  <c r="D44" i="6"/>
  <c r="L39" i="6"/>
  <c r="G39" i="6"/>
  <c r="G40" i="6" s="1"/>
  <c r="S24" i="6" s="1"/>
  <c r="B39" i="6"/>
  <c r="B40" i="6" s="1"/>
  <c r="S23" i="6" s="1"/>
  <c r="I30" i="6"/>
  <c r="D30" i="6"/>
  <c r="L29" i="6"/>
  <c r="G28" i="6"/>
  <c r="B28" i="6"/>
  <c r="L27" i="6"/>
  <c r="K27" i="6"/>
  <c r="L26" i="6"/>
  <c r="K26" i="6"/>
  <c r="F26" i="6"/>
  <c r="A26" i="6"/>
  <c r="L25" i="6"/>
  <c r="K25" i="6"/>
  <c r="F25" i="6"/>
  <c r="A25" i="6"/>
  <c r="L24" i="6"/>
  <c r="K24" i="6"/>
  <c r="F24" i="6"/>
  <c r="A24" i="6"/>
  <c r="F23" i="6"/>
  <c r="A23" i="6"/>
  <c r="S22" i="6"/>
  <c r="G20" i="6"/>
  <c r="B20" i="6"/>
  <c r="Q19" i="6"/>
  <c r="G19" i="6"/>
  <c r="B19" i="6"/>
  <c r="N13" i="6"/>
  <c r="N38" i="6" s="1"/>
  <c r="I13" i="6"/>
  <c r="I38" i="6" s="1"/>
  <c r="D13" i="6"/>
  <c r="D38" i="6" s="1"/>
  <c r="L11" i="6"/>
  <c r="G11" i="6"/>
  <c r="B11" i="6"/>
  <c r="K9" i="6"/>
  <c r="F9" i="6"/>
  <c r="A9" i="6"/>
  <c r="K8" i="6"/>
  <c r="F8" i="6"/>
  <c r="A8" i="6"/>
  <c r="S7" i="6"/>
  <c r="K7" i="6"/>
  <c r="F7" i="6"/>
  <c r="A7" i="6"/>
  <c r="K6" i="6"/>
  <c r="F6" i="6"/>
  <c r="A6" i="6"/>
  <c r="Q3" i="6"/>
  <c r="L3" i="6"/>
  <c r="G3" i="6"/>
  <c r="B3" i="6"/>
  <c r="Q2" i="6"/>
  <c r="L2" i="6"/>
  <c r="G2" i="6"/>
  <c r="B2" i="6"/>
  <c r="Q47" i="5"/>
  <c r="L45" i="5"/>
  <c r="L46" i="5" s="1"/>
  <c r="S34" i="5" s="1"/>
  <c r="G45" i="5"/>
  <c r="G46" i="5" s="1"/>
  <c r="S33" i="5" s="1"/>
  <c r="B45" i="5"/>
  <c r="B46" i="5" s="1"/>
  <c r="S32" i="5" s="1"/>
  <c r="I44" i="5"/>
  <c r="D44" i="5"/>
  <c r="L39" i="5"/>
  <c r="G39" i="5"/>
  <c r="G40" i="5" s="1"/>
  <c r="S30" i="5" s="1"/>
  <c r="B39" i="5"/>
  <c r="B40" i="5" s="1"/>
  <c r="S29" i="5" s="1"/>
  <c r="I30" i="5"/>
  <c r="D30" i="5"/>
  <c r="S28" i="5"/>
  <c r="L28" i="5"/>
  <c r="G28" i="5"/>
  <c r="B28" i="5"/>
  <c r="L26" i="5"/>
  <c r="K26" i="5"/>
  <c r="F26" i="5"/>
  <c r="A26" i="5"/>
  <c r="Q25" i="5"/>
  <c r="L25" i="5"/>
  <c r="K25" i="5"/>
  <c r="F25" i="5"/>
  <c r="A25" i="5"/>
  <c r="L24" i="5"/>
  <c r="K24" i="5"/>
  <c r="F24" i="5"/>
  <c r="A24" i="5"/>
  <c r="L23" i="5"/>
  <c r="K23" i="5"/>
  <c r="F23" i="5"/>
  <c r="A23" i="5"/>
  <c r="G20" i="5"/>
  <c r="B20" i="5"/>
  <c r="G19" i="5"/>
  <c r="B19" i="5"/>
  <c r="S13" i="5"/>
  <c r="N44" i="5" s="1"/>
  <c r="N13" i="5"/>
  <c r="N38" i="5" s="1"/>
  <c r="I13" i="5"/>
  <c r="I38" i="5" s="1"/>
  <c r="D13" i="5"/>
  <c r="D38" i="5" s="1"/>
  <c r="Q11" i="5"/>
  <c r="L11" i="5"/>
  <c r="G11" i="5"/>
  <c r="B11" i="5"/>
  <c r="P9" i="5"/>
  <c r="K9" i="5"/>
  <c r="F9" i="5"/>
  <c r="A9" i="5"/>
  <c r="P8" i="5"/>
  <c r="K8" i="5"/>
  <c r="F8" i="5"/>
  <c r="A8" i="5"/>
  <c r="P7" i="5"/>
  <c r="K7" i="5"/>
  <c r="F7" i="5"/>
  <c r="A7" i="5"/>
  <c r="P6" i="5"/>
  <c r="K6" i="5"/>
  <c r="F6" i="5"/>
  <c r="A6" i="5"/>
  <c r="Q3" i="5"/>
  <c r="L3" i="5"/>
  <c r="G3" i="5"/>
  <c r="B3" i="5"/>
  <c r="Q2" i="5"/>
  <c r="L2" i="5"/>
  <c r="G2" i="5"/>
  <c r="B2" i="5"/>
  <c r="M6" i="12" l="1"/>
  <c r="N6" i="12" s="1"/>
  <c r="C19" i="8"/>
  <c r="D19" i="8" s="1"/>
  <c r="M23" i="10"/>
  <c r="N23" i="10" s="1"/>
  <c r="H9" i="8"/>
  <c r="I9" i="8" s="1"/>
  <c r="H20" i="8"/>
  <c r="I20" i="8" s="1"/>
  <c r="C6" i="11"/>
  <c r="D6" i="11" s="1"/>
  <c r="M8" i="10"/>
  <c r="N8" i="10" s="1"/>
  <c r="M9" i="8"/>
  <c r="N9" i="8" s="1"/>
  <c r="M20" i="8"/>
  <c r="N20" i="8" s="1"/>
  <c r="M22" i="8"/>
  <c r="N22" i="8" s="1"/>
  <c r="M24" i="8"/>
  <c r="H22" i="8"/>
  <c r="I22" i="8" s="1"/>
  <c r="H6" i="10"/>
  <c r="I6" i="10" s="1"/>
  <c r="C7" i="8"/>
  <c r="D7" i="8" s="1"/>
  <c r="C5" i="8"/>
  <c r="D5" i="8" s="1"/>
  <c r="C20" i="8"/>
  <c r="D20" i="8" s="1"/>
  <c r="N34" i="8"/>
  <c r="S34" i="8" s="1"/>
  <c r="M21" i="8"/>
  <c r="N21" i="8" s="1"/>
  <c r="M23" i="8"/>
  <c r="N23" i="8" s="1"/>
  <c r="H9" i="10"/>
  <c r="I9" i="10" s="1"/>
  <c r="M9" i="10"/>
  <c r="N9" i="10" s="1"/>
  <c r="M20" i="10"/>
  <c r="N20" i="10" s="1"/>
  <c r="H5" i="8"/>
  <c r="I5" i="8" s="1"/>
  <c r="H21" i="8"/>
  <c r="I21" i="8" s="1"/>
  <c r="M7" i="10"/>
  <c r="N7" i="10" s="1"/>
  <c r="H8" i="8"/>
  <c r="I8" i="8" s="1"/>
  <c r="H23" i="8"/>
  <c r="I23" i="8" s="1"/>
  <c r="M5" i="10"/>
  <c r="N5" i="10" s="1"/>
  <c r="H20" i="10"/>
  <c r="I20" i="10" s="1"/>
  <c r="H8" i="10"/>
  <c r="I8" i="10" s="1"/>
  <c r="M21" i="10"/>
  <c r="N21" i="10" s="1"/>
  <c r="H23" i="10"/>
  <c r="I23" i="10" s="1"/>
  <c r="C9" i="8"/>
  <c r="D9" i="8" s="1"/>
  <c r="C22" i="10"/>
  <c r="D22" i="10" s="1"/>
  <c r="C7" i="10"/>
  <c r="D7" i="10" s="1"/>
  <c r="H22" i="10"/>
  <c r="I22" i="10" s="1"/>
  <c r="C5" i="10"/>
  <c r="D5" i="10" s="1"/>
  <c r="H7" i="10"/>
  <c r="I7" i="10" s="1"/>
  <c r="M22" i="10"/>
  <c r="N22" i="10" s="1"/>
  <c r="M24" i="10"/>
  <c r="N24" i="10" s="1"/>
  <c r="M7" i="8"/>
  <c r="N7" i="8" s="1"/>
  <c r="C21" i="8"/>
  <c r="D21" i="8" s="1"/>
  <c r="H5" i="10"/>
  <c r="I5" i="10" s="1"/>
  <c r="C21" i="10"/>
  <c r="D21" i="10" s="1"/>
  <c r="M5" i="8"/>
  <c r="N5" i="8" s="1"/>
  <c r="C8" i="8"/>
  <c r="D8" i="8" s="1"/>
  <c r="C23" i="8"/>
  <c r="D23" i="8" s="1"/>
  <c r="D8" i="10"/>
  <c r="H21" i="10"/>
  <c r="I21" i="10" s="1"/>
  <c r="C23" i="10"/>
  <c r="D23" i="10" s="1"/>
  <c r="M8" i="8"/>
  <c r="N8" i="8" s="1"/>
  <c r="Q28" i="8"/>
  <c r="C9" i="10"/>
  <c r="D9" i="10" s="1"/>
  <c r="C20" i="10"/>
  <c r="D20" i="10" s="1"/>
  <c r="Q28" i="10"/>
  <c r="C22" i="8"/>
  <c r="D22" i="8" s="1"/>
  <c r="N39" i="8"/>
  <c r="S27" i="8"/>
  <c r="G39" i="8"/>
  <c r="S26" i="8"/>
  <c r="S36" i="8" s="1"/>
  <c r="B39" i="8"/>
  <c r="S25" i="8"/>
  <c r="S35" i="8" s="1"/>
  <c r="G33" i="8"/>
  <c r="S23" i="8"/>
  <c r="S33" i="8" s="1"/>
  <c r="B33" i="8"/>
  <c r="S22" i="8"/>
  <c r="S32" i="8" s="1"/>
  <c r="N24" i="8"/>
  <c r="L26" i="8"/>
  <c r="G25" i="8"/>
  <c r="G36" i="8"/>
  <c r="G26" i="8"/>
  <c r="G27" i="8" s="1"/>
  <c r="S16" i="8" s="1"/>
  <c r="B36" i="8"/>
  <c r="B26" i="8"/>
  <c r="B25" i="8"/>
  <c r="Q8" i="8"/>
  <c r="Q9" i="8" s="1"/>
  <c r="S17" i="8" s="1"/>
  <c r="P5" i="8" s="1"/>
  <c r="R5" i="8" s="1"/>
  <c r="S5" i="8" s="1"/>
  <c r="Q6" i="8" s="1"/>
  <c r="Q7" i="8"/>
  <c r="L37" i="8"/>
  <c r="L12" i="8"/>
  <c r="L13" i="8" s="1"/>
  <c r="S14" i="8" s="1"/>
  <c r="L11" i="8"/>
  <c r="L33" i="8"/>
  <c r="G12" i="8"/>
  <c r="G13" i="8" s="1"/>
  <c r="S12" i="8" s="1"/>
  <c r="G11" i="8"/>
  <c r="N17" i="8"/>
  <c r="N18" i="8"/>
  <c r="B30" i="8"/>
  <c r="B12" i="8"/>
  <c r="B13" i="8" s="1"/>
  <c r="S13" i="8" s="1"/>
  <c r="B11" i="8"/>
  <c r="G30" i="8"/>
  <c r="R38" i="10"/>
  <c r="G39" i="10"/>
  <c r="S36" i="10"/>
  <c r="N34" i="10"/>
  <c r="S34" i="10" s="1"/>
  <c r="N39" i="10"/>
  <c r="S27" i="10"/>
  <c r="B39" i="10"/>
  <c r="S25" i="10"/>
  <c r="S35" i="10" s="1"/>
  <c r="G33" i="10"/>
  <c r="S23" i="10"/>
  <c r="S33" i="10" s="1"/>
  <c r="B33" i="10"/>
  <c r="S22" i="10"/>
  <c r="S32" i="10" s="1"/>
  <c r="L26" i="10"/>
  <c r="G26" i="10"/>
  <c r="G27" i="10" s="1"/>
  <c r="S16" i="10" s="1"/>
  <c r="G25" i="10"/>
  <c r="G36" i="10"/>
  <c r="B26" i="10"/>
  <c r="B27" i="10" s="1"/>
  <c r="B25" i="10"/>
  <c r="B36" i="10"/>
  <c r="L37" i="10"/>
  <c r="Q8" i="10"/>
  <c r="Q9" i="10" s="1"/>
  <c r="S17" i="10" s="1"/>
  <c r="P5" i="10" s="1"/>
  <c r="R5" i="10" s="1"/>
  <c r="S5" i="10" s="1"/>
  <c r="Q6" i="10" s="1"/>
  <c r="Q7" i="10"/>
  <c r="L33" i="10"/>
  <c r="L11" i="10"/>
  <c r="L12" i="10"/>
  <c r="L13" i="10" s="1"/>
  <c r="S14" i="10" s="1"/>
  <c r="B30" i="10"/>
  <c r="N18" i="10"/>
  <c r="N17" i="10"/>
  <c r="G12" i="10"/>
  <c r="G13" i="10" s="1"/>
  <c r="S12" i="10" s="1"/>
  <c r="G11" i="10"/>
  <c r="B12" i="10"/>
  <c r="B13" i="10" s="1"/>
  <c r="S13" i="10" s="1"/>
  <c r="G30" i="10"/>
  <c r="B11" i="10"/>
  <c r="M6" i="11"/>
  <c r="N6" i="11" s="1"/>
  <c r="H6" i="11"/>
  <c r="I6" i="11" s="1"/>
  <c r="H6" i="12"/>
  <c r="I6" i="12" s="1"/>
  <c r="H22" i="12"/>
  <c r="I22" i="12" s="1"/>
  <c r="H21" i="11"/>
  <c r="I21" i="11" s="1"/>
  <c r="M21" i="12"/>
  <c r="N21" i="12" s="1"/>
  <c r="M21" i="11"/>
  <c r="N21" i="11" s="1"/>
  <c r="H23" i="11"/>
  <c r="I23" i="11" s="1"/>
  <c r="M23" i="12"/>
  <c r="N23" i="12" s="1"/>
  <c r="M8" i="11"/>
  <c r="N8" i="11" s="1"/>
  <c r="H19" i="11"/>
  <c r="I19" i="11" s="1"/>
  <c r="H20" i="11"/>
  <c r="I20" i="11" s="1"/>
  <c r="H22" i="11"/>
  <c r="I22" i="11" s="1"/>
  <c r="C5" i="12"/>
  <c r="D5" i="12" s="1"/>
  <c r="H7" i="12"/>
  <c r="I7" i="12" s="1"/>
  <c r="M22" i="12"/>
  <c r="N22" i="12" s="1"/>
  <c r="M24" i="12"/>
  <c r="N24" i="12" s="1"/>
  <c r="H8" i="11"/>
  <c r="I8" i="11" s="1"/>
  <c r="C19" i="11"/>
  <c r="D19" i="11" s="1"/>
  <c r="H8" i="12"/>
  <c r="I8" i="12" s="1"/>
  <c r="H9" i="12"/>
  <c r="I9" i="12" s="1"/>
  <c r="C7" i="12"/>
  <c r="D7" i="12" s="1"/>
  <c r="M9" i="12"/>
  <c r="N9" i="12" s="1"/>
  <c r="M20" i="12"/>
  <c r="N20" i="12" s="1"/>
  <c r="H5" i="12"/>
  <c r="I5" i="12" s="1"/>
  <c r="M7" i="12"/>
  <c r="N7" i="12" s="1"/>
  <c r="C23" i="11"/>
  <c r="D23" i="11" s="1"/>
  <c r="M9" i="11"/>
  <c r="N9" i="11" s="1"/>
  <c r="C5" i="11"/>
  <c r="D5" i="11" s="1"/>
  <c r="H7" i="11"/>
  <c r="I7" i="11" s="1"/>
  <c r="M22" i="11"/>
  <c r="N22" i="11" s="1"/>
  <c r="M8" i="12"/>
  <c r="N8" i="12" s="1"/>
  <c r="H19" i="12"/>
  <c r="I19" i="12" s="1"/>
  <c r="H23" i="12"/>
  <c r="I23" i="12" s="1"/>
  <c r="C23" i="12"/>
  <c r="D23" i="12" s="1"/>
  <c r="H5" i="11"/>
  <c r="I5" i="11" s="1"/>
  <c r="M7" i="11"/>
  <c r="N7" i="11" s="1"/>
  <c r="C21" i="11"/>
  <c r="D21" i="11" s="1"/>
  <c r="C9" i="12"/>
  <c r="D9" i="12" s="1"/>
  <c r="C20" i="12"/>
  <c r="D20" i="12" s="1"/>
  <c r="C7" i="11"/>
  <c r="D7" i="11" s="1"/>
  <c r="M20" i="11"/>
  <c r="N20" i="11" s="1"/>
  <c r="C19" i="12"/>
  <c r="D19" i="12" s="1"/>
  <c r="M5" i="11"/>
  <c r="N5" i="11" s="1"/>
  <c r="C8" i="11"/>
  <c r="D8" i="11" s="1"/>
  <c r="M24" i="11"/>
  <c r="N24" i="11" s="1"/>
  <c r="Q28" i="11"/>
  <c r="H20" i="12"/>
  <c r="I20" i="12" s="1"/>
  <c r="C22" i="12"/>
  <c r="D22" i="12" s="1"/>
  <c r="C9" i="11"/>
  <c r="D9" i="11" s="1"/>
  <c r="C20" i="11"/>
  <c r="D20" i="11" s="1"/>
  <c r="M23" i="11"/>
  <c r="N23" i="11" s="1"/>
  <c r="C21" i="12"/>
  <c r="D21" i="12" s="1"/>
  <c r="H9" i="11"/>
  <c r="I9" i="11" s="1"/>
  <c r="C22" i="11"/>
  <c r="D22" i="11" s="1"/>
  <c r="M5" i="12"/>
  <c r="N5" i="12" s="1"/>
  <c r="C8" i="12"/>
  <c r="D8" i="12" s="1"/>
  <c r="H21" i="12"/>
  <c r="I21" i="12" s="1"/>
  <c r="Q28" i="12"/>
  <c r="B30" i="12"/>
  <c r="N18" i="12"/>
  <c r="N17" i="12"/>
  <c r="B12" i="12"/>
  <c r="B13" i="12" s="1"/>
  <c r="S12" i="12" s="1"/>
  <c r="B11" i="12"/>
  <c r="G30" i="12"/>
  <c r="G12" i="12"/>
  <c r="G13" i="12" s="1"/>
  <c r="S13" i="12" s="1"/>
  <c r="G11" i="12"/>
  <c r="L33" i="12"/>
  <c r="L12" i="12"/>
  <c r="L13" i="12" s="1"/>
  <c r="S14" i="12" s="1"/>
  <c r="L11" i="12"/>
  <c r="L37" i="12"/>
  <c r="Q8" i="12"/>
  <c r="Q9" i="12" s="1"/>
  <c r="S17" i="12" s="1"/>
  <c r="P5" i="12" s="1"/>
  <c r="R5" i="12" s="1"/>
  <c r="S5" i="12" s="1"/>
  <c r="Q6" i="12" s="1"/>
  <c r="Q7" i="12"/>
  <c r="B36" i="12"/>
  <c r="B26" i="12"/>
  <c r="B25" i="12"/>
  <c r="G36" i="12"/>
  <c r="G26" i="12"/>
  <c r="G27" i="12" s="1"/>
  <c r="S16" i="12" s="1"/>
  <c r="G25" i="12"/>
  <c r="S32" i="12"/>
  <c r="S33" i="12"/>
  <c r="L26" i="12"/>
  <c r="L18" i="12" s="1"/>
  <c r="S35" i="12"/>
  <c r="S36" i="12"/>
  <c r="S37" i="12"/>
  <c r="S28" i="12"/>
  <c r="B33" i="12"/>
  <c r="G33" i="12"/>
  <c r="N34" i="12"/>
  <c r="S34" i="12" s="1"/>
  <c r="B39" i="12"/>
  <c r="G39" i="12"/>
  <c r="N39" i="12"/>
  <c r="B30" i="11"/>
  <c r="N18" i="11"/>
  <c r="N17" i="11"/>
  <c r="B12" i="11"/>
  <c r="B13" i="11" s="1"/>
  <c r="S12" i="11" s="1"/>
  <c r="B11" i="11"/>
  <c r="G30" i="11"/>
  <c r="G12" i="11"/>
  <c r="G13" i="11" s="1"/>
  <c r="S13" i="11" s="1"/>
  <c r="G11" i="11"/>
  <c r="L33" i="11"/>
  <c r="L12" i="11"/>
  <c r="L13" i="11" s="1"/>
  <c r="S14" i="11" s="1"/>
  <c r="L11" i="11"/>
  <c r="L37" i="11"/>
  <c r="Q8" i="11"/>
  <c r="Q9" i="11" s="1"/>
  <c r="S17" i="11" s="1"/>
  <c r="P5" i="11" s="1"/>
  <c r="R5" i="11" s="1"/>
  <c r="S5" i="11" s="1"/>
  <c r="Q6" i="11" s="1"/>
  <c r="Q7" i="11"/>
  <c r="B36" i="11"/>
  <c r="B26" i="11"/>
  <c r="B25" i="11"/>
  <c r="G36" i="11"/>
  <c r="G26" i="11"/>
  <c r="G27" i="11" s="1"/>
  <c r="S16" i="11" s="1"/>
  <c r="G25" i="11"/>
  <c r="S32" i="11"/>
  <c r="S33" i="11"/>
  <c r="L26" i="11"/>
  <c r="L18" i="11" s="1"/>
  <c r="S35" i="11"/>
  <c r="S36" i="11"/>
  <c r="S37" i="11"/>
  <c r="S28" i="11"/>
  <c r="B33" i="11"/>
  <c r="G33" i="11"/>
  <c r="N34" i="11"/>
  <c r="S34" i="11" s="1"/>
  <c r="B39" i="11"/>
  <c r="G39" i="11"/>
  <c r="N39" i="11"/>
  <c r="R8" i="5"/>
  <c r="S8" i="5" s="1"/>
  <c r="R6" i="5"/>
  <c r="S6" i="5" s="1"/>
  <c r="H7" i="6"/>
  <c r="I7" i="6" s="1"/>
  <c r="S34" i="6"/>
  <c r="M24" i="6"/>
  <c r="N24" i="6" s="1"/>
  <c r="M26" i="6"/>
  <c r="N26" i="6" s="1"/>
  <c r="S35" i="6"/>
  <c r="C24" i="6"/>
  <c r="D24" i="6" s="1"/>
  <c r="C26" i="6"/>
  <c r="D26" i="6" s="1"/>
  <c r="M9" i="6"/>
  <c r="N9" i="6" s="1"/>
  <c r="H26" i="6"/>
  <c r="I26" i="6" s="1"/>
  <c r="C8" i="6"/>
  <c r="D8" i="6" s="1"/>
  <c r="C6" i="6"/>
  <c r="D6" i="6" s="1"/>
  <c r="C23" i="6"/>
  <c r="D23" i="6" s="1"/>
  <c r="C25" i="6"/>
  <c r="D25" i="6" s="1"/>
  <c r="Q29" i="6"/>
  <c r="C9" i="6"/>
  <c r="D9" i="6" s="1"/>
  <c r="M27" i="6"/>
  <c r="N27" i="6" s="1"/>
  <c r="M6" i="6"/>
  <c r="N6" i="6" s="1"/>
  <c r="Q35" i="5"/>
  <c r="C7" i="6"/>
  <c r="D7" i="6" s="1"/>
  <c r="H8" i="6"/>
  <c r="I8" i="6" s="1"/>
  <c r="H6" i="6"/>
  <c r="I6" i="6" s="1"/>
  <c r="M8" i="6"/>
  <c r="N8" i="6" s="1"/>
  <c r="H23" i="6"/>
  <c r="I23" i="6" s="1"/>
  <c r="H25" i="6"/>
  <c r="I25" i="6" s="1"/>
  <c r="H9" i="6"/>
  <c r="M25" i="6"/>
  <c r="N25" i="6" s="1"/>
  <c r="M7" i="6"/>
  <c r="N7" i="6" s="1"/>
  <c r="H24" i="6"/>
  <c r="I24" i="6" s="1"/>
  <c r="B38" i="6"/>
  <c r="N22" i="6"/>
  <c r="N21" i="6"/>
  <c r="B15" i="6"/>
  <c r="B16" i="6" s="1"/>
  <c r="S13" i="6" s="1"/>
  <c r="B14" i="6"/>
  <c r="G38" i="6"/>
  <c r="G15" i="6"/>
  <c r="G16" i="6" s="1"/>
  <c r="S14" i="6" s="1"/>
  <c r="G14" i="6"/>
  <c r="L38" i="6"/>
  <c r="L15" i="6"/>
  <c r="L16" i="6" s="1"/>
  <c r="S15" i="6" s="1"/>
  <c r="L14" i="6"/>
  <c r="L44" i="6"/>
  <c r="Q9" i="6"/>
  <c r="Q10" i="6" s="1"/>
  <c r="S18" i="6" s="1"/>
  <c r="P6" i="6" s="1"/>
  <c r="R6" i="6" s="1"/>
  <c r="Q8" i="6"/>
  <c r="N44" i="6"/>
  <c r="L47" i="6" s="1"/>
  <c r="L28" i="6"/>
  <c r="B44" i="6"/>
  <c r="B32" i="6"/>
  <c r="B33" i="6" s="1"/>
  <c r="S16" i="6" s="1"/>
  <c r="B31" i="6"/>
  <c r="G44" i="6"/>
  <c r="G32" i="6"/>
  <c r="G33" i="6" s="1"/>
  <c r="G31" i="6"/>
  <c r="S31" i="6"/>
  <c r="S32" i="6"/>
  <c r="N30" i="6"/>
  <c r="S36" i="6"/>
  <c r="B41" i="6"/>
  <c r="G41" i="6"/>
  <c r="L40" i="6"/>
  <c r="S33" i="6" s="1"/>
  <c r="B47" i="6"/>
  <c r="G47" i="6"/>
  <c r="H8" i="5"/>
  <c r="I8" i="5" s="1"/>
  <c r="C6" i="5"/>
  <c r="D6" i="5" s="1"/>
  <c r="C8" i="5"/>
  <c r="D8" i="5" s="1"/>
  <c r="H26" i="5"/>
  <c r="I26" i="5" s="1"/>
  <c r="H6" i="5"/>
  <c r="I6" i="5" s="1"/>
  <c r="M8" i="5"/>
  <c r="N8" i="5" s="1"/>
  <c r="M6" i="5"/>
  <c r="N6" i="5" s="1"/>
  <c r="R7" i="5"/>
  <c r="S7" i="5" s="1"/>
  <c r="R9" i="5"/>
  <c r="S9" i="5" s="1"/>
  <c r="H23" i="5"/>
  <c r="I23" i="5" s="1"/>
  <c r="H25" i="5"/>
  <c r="I25" i="5" s="1"/>
  <c r="H7" i="5"/>
  <c r="I7" i="5" s="1"/>
  <c r="M24" i="5"/>
  <c r="N24" i="5" s="1"/>
  <c r="H9" i="5"/>
  <c r="M23" i="5"/>
  <c r="N23" i="5" s="1"/>
  <c r="M25" i="5"/>
  <c r="N25" i="5" s="1"/>
  <c r="M7" i="5"/>
  <c r="N7" i="5" s="1"/>
  <c r="C24" i="5"/>
  <c r="D24" i="5" s="1"/>
  <c r="H24" i="5"/>
  <c r="I24" i="5" s="1"/>
  <c r="C26" i="5"/>
  <c r="D26" i="5" s="1"/>
  <c r="M26" i="5"/>
  <c r="N26" i="5" s="1"/>
  <c r="C7" i="5"/>
  <c r="D7" i="5" s="1"/>
  <c r="C9" i="5"/>
  <c r="D9" i="5" s="1"/>
  <c r="C23" i="5"/>
  <c r="D23" i="5" s="1"/>
  <c r="C25" i="5"/>
  <c r="D25" i="5" s="1"/>
  <c r="M9" i="5"/>
  <c r="N9" i="5" s="1"/>
  <c r="B38" i="5"/>
  <c r="N21" i="5"/>
  <c r="B15" i="5"/>
  <c r="B16" i="5" s="1"/>
  <c r="S19" i="5" s="1"/>
  <c r="B14" i="5"/>
  <c r="G38" i="5"/>
  <c r="G15" i="5"/>
  <c r="G16" i="5" s="1"/>
  <c r="S20" i="5" s="1"/>
  <c r="G14" i="5"/>
  <c r="L38" i="5"/>
  <c r="L15" i="5"/>
  <c r="L16" i="5" s="1"/>
  <c r="S21" i="5" s="1"/>
  <c r="L14" i="5"/>
  <c r="L44" i="5"/>
  <c r="Q15" i="5"/>
  <c r="Q16" i="5" s="1"/>
  <c r="S24" i="5" s="1"/>
  <c r="Q14" i="5"/>
  <c r="B44" i="5"/>
  <c r="B32" i="5"/>
  <c r="B33" i="5" s="1"/>
  <c r="S22" i="5" s="1"/>
  <c r="B31" i="5"/>
  <c r="G44" i="5"/>
  <c r="G32" i="5"/>
  <c r="G31" i="5"/>
  <c r="N30" i="5"/>
  <c r="S37" i="5"/>
  <c r="S38" i="5"/>
  <c r="S40" i="5"/>
  <c r="S41" i="5"/>
  <c r="S42" i="5"/>
  <c r="B41" i="5"/>
  <c r="G41" i="5"/>
  <c r="L40" i="5"/>
  <c r="S39" i="5" s="1"/>
  <c r="B47" i="5"/>
  <c r="G47" i="5"/>
  <c r="L47" i="5"/>
  <c r="L10" i="8" l="1"/>
  <c r="L10" i="10"/>
  <c r="G24" i="10"/>
  <c r="G24" i="8"/>
  <c r="G10" i="8"/>
  <c r="B24" i="8"/>
  <c r="B24" i="10"/>
  <c r="B10" i="8"/>
  <c r="B10" i="10"/>
  <c r="G10" i="10"/>
  <c r="S28" i="8"/>
  <c r="S29" i="8" s="1"/>
  <c r="S37" i="8"/>
  <c r="Q29" i="8"/>
  <c r="L18" i="8"/>
  <c r="B27" i="8"/>
  <c r="N30" i="8"/>
  <c r="L27" i="8"/>
  <c r="N28" i="8"/>
  <c r="AA25" i="8" s="1"/>
  <c r="S28" i="10"/>
  <c r="S29" i="10" s="1"/>
  <c r="S37" i="10"/>
  <c r="Q29" i="10"/>
  <c r="L18" i="10"/>
  <c r="N30" i="10"/>
  <c r="L27" i="10"/>
  <c r="N28" i="10"/>
  <c r="AA25" i="10" s="1"/>
  <c r="G24" i="11"/>
  <c r="L10" i="12"/>
  <c r="B24" i="12"/>
  <c r="G10" i="12"/>
  <c r="Q29" i="11"/>
  <c r="S29" i="12"/>
  <c r="B10" i="12"/>
  <c r="B24" i="11"/>
  <c r="B10" i="11"/>
  <c r="G24" i="12"/>
  <c r="L10" i="11"/>
  <c r="S29" i="11"/>
  <c r="Q29" i="12"/>
  <c r="G10" i="11"/>
  <c r="N28" i="12"/>
  <c r="AA25" i="12" s="1"/>
  <c r="N30" i="12"/>
  <c r="B27" i="12"/>
  <c r="L27" i="12"/>
  <c r="N28" i="11"/>
  <c r="AA25" i="11" s="1"/>
  <c r="N30" i="11"/>
  <c r="B27" i="11"/>
  <c r="L27" i="11"/>
  <c r="L13" i="6"/>
  <c r="Q30" i="6"/>
  <c r="B30" i="6"/>
  <c r="Q36" i="5"/>
  <c r="G13" i="6"/>
  <c r="G30" i="6"/>
  <c r="L32" i="6"/>
  <c r="L32" i="5"/>
  <c r="G33" i="5"/>
  <c r="L33" i="5" s="1"/>
  <c r="S25" i="5" s="1"/>
  <c r="B13" i="6"/>
  <c r="I9" i="6"/>
  <c r="L33" i="6"/>
  <c r="S19" i="6" s="1"/>
  <c r="S17" i="6"/>
  <c r="L30" i="6"/>
  <c r="M28" i="6"/>
  <c r="S6" i="6"/>
  <c r="L31" i="6"/>
  <c r="Q13" i="5"/>
  <c r="G30" i="5"/>
  <c r="B30" i="5"/>
  <c r="G13" i="5"/>
  <c r="I9" i="5"/>
  <c r="L13" i="5"/>
  <c r="B13" i="5"/>
  <c r="L30" i="5"/>
  <c r="L31" i="5"/>
  <c r="N19" i="8" l="1"/>
  <c r="N19" i="10"/>
  <c r="L16" i="10"/>
  <c r="L16" i="8"/>
  <c r="N29" i="8" s="1"/>
  <c r="L15" i="8" s="1"/>
  <c r="L28" i="8"/>
  <c r="S15" i="8"/>
  <c r="AA26" i="8"/>
  <c r="N25" i="8"/>
  <c r="L28" i="10"/>
  <c r="S15" i="10"/>
  <c r="AA26" i="10"/>
  <c r="N25" i="10"/>
  <c r="N16" i="10"/>
  <c r="N29" i="10"/>
  <c r="L15" i="10" s="1"/>
  <c r="N19" i="11"/>
  <c r="L16" i="11"/>
  <c r="N16" i="11" s="1"/>
  <c r="N15" i="11" s="1"/>
  <c r="L16" i="12"/>
  <c r="N29" i="12" s="1"/>
  <c r="L15" i="12" s="1"/>
  <c r="N19" i="12"/>
  <c r="L28" i="12"/>
  <c r="S15" i="12"/>
  <c r="AA26" i="12"/>
  <c r="N25" i="12"/>
  <c r="L28" i="11"/>
  <c r="S15" i="11"/>
  <c r="AA26" i="11"/>
  <c r="N25" i="11"/>
  <c r="L20" i="6"/>
  <c r="N20" i="6" s="1"/>
  <c r="N19" i="6" s="1"/>
  <c r="S23" i="5"/>
  <c r="N28" i="6"/>
  <c r="Q7" i="6"/>
  <c r="L22" i="6" s="1"/>
  <c r="L20" i="5"/>
  <c r="N32" i="5" s="1"/>
  <c r="N16" i="8" l="1"/>
  <c r="L29" i="8"/>
  <c r="L30" i="8" s="1"/>
  <c r="S18" i="8"/>
  <c r="N27" i="8"/>
  <c r="N26" i="8"/>
  <c r="AB15" i="8"/>
  <c r="N15" i="8"/>
  <c r="L29" i="10"/>
  <c r="L30" i="10" s="1"/>
  <c r="S18" i="10"/>
  <c r="N27" i="10"/>
  <c r="N26" i="10"/>
  <c r="AB15" i="10"/>
  <c r="N15" i="10"/>
  <c r="N29" i="11"/>
  <c r="L15" i="11" s="1"/>
  <c r="N16" i="12"/>
  <c r="N15" i="12" s="1"/>
  <c r="N27" i="12"/>
  <c r="N26" i="12"/>
  <c r="L29" i="12"/>
  <c r="L30" i="12" s="1"/>
  <c r="S18" i="12"/>
  <c r="N27" i="11"/>
  <c r="N26" i="11"/>
  <c r="AB15" i="11"/>
  <c r="L29" i="11"/>
  <c r="L30" i="11" s="1"/>
  <c r="S18" i="11"/>
  <c r="N29" i="6"/>
  <c r="L19" i="6"/>
  <c r="N32" i="6"/>
  <c r="N28" i="5"/>
  <c r="N20" i="5"/>
  <c r="N19" i="5" s="1"/>
  <c r="AB15" i="12" l="1"/>
  <c r="L19" i="5"/>
</calcChain>
</file>

<file path=xl/sharedStrings.xml><?xml version="1.0" encoding="utf-8"?>
<sst xmlns="http://schemas.openxmlformats.org/spreadsheetml/2006/main" count="1229" uniqueCount="187">
  <si>
    <t>KAUPPA</t>
  </si>
  <si>
    <t>MASSA</t>
  </si>
  <si>
    <t>PAKASTE</t>
  </si>
  <si>
    <t>KÄYTTÖTAVARA</t>
  </si>
  <si>
    <t>Kerättävä määrä</t>
  </si>
  <si>
    <t>Keräysteho kpl/h</t>
  </si>
  <si>
    <t>Vuoron päättymisaika</t>
  </si>
  <si>
    <t>HKL</t>
  </si>
  <si>
    <t>Aikaa jäljellä (h)</t>
  </si>
  <si>
    <t>keräystunnit jäljellä</t>
  </si>
  <si>
    <t>Kokonaistyötunnit (Jäljellä)</t>
  </si>
  <si>
    <t>Kerääjät / yht</t>
  </si>
  <si>
    <t>Tuotteita / kerääjä</t>
  </si>
  <si>
    <t>Arvioitu kesto (Tunnit)</t>
  </si>
  <si>
    <t>Arvioitu valmistuminen</t>
  </si>
  <si>
    <t>KERÄTTÄVÄ MÄÄRÄ</t>
  </si>
  <si>
    <t>ARVIOITU VALMISTUMINEN</t>
  </si>
  <si>
    <t>Nykyinen aika</t>
  </si>
  <si>
    <t>LÄMMIN AUTO</t>
  </si>
  <si>
    <t>KYLMÄ AUTO</t>
  </si>
  <si>
    <t>Lisätyötarve HH:MM</t>
  </si>
  <si>
    <t>Lisätyötuntikapa</t>
  </si>
  <si>
    <t>Keräysteho kpl/h ET</t>
  </si>
  <si>
    <t>Keräyskapa</t>
  </si>
  <si>
    <t>Lisätunnit</t>
  </si>
  <si>
    <t>Kerättävä määrä ET</t>
  </si>
  <si>
    <t>Kahvitauot HH:MM</t>
  </si>
  <si>
    <t>Kerättävä määrä ET + KT</t>
  </si>
  <si>
    <t>KOKONAIS</t>
  </si>
  <si>
    <t>HKL ET</t>
  </si>
  <si>
    <t>Keräysteho kpl/h ET + KT</t>
  </si>
  <si>
    <t>LAATIKOITA JÄLJELLÄ</t>
  </si>
  <si>
    <t>KIERROKSIA JÄLJELLÄ</t>
  </si>
  <si>
    <t>XL MASSA</t>
  </si>
  <si>
    <t>KIERROKSIA</t>
  </si>
  <si>
    <t>PSS</t>
  </si>
  <si>
    <t>-</t>
  </si>
  <si>
    <t xml:space="preserve">Ylim. Työaika </t>
  </si>
  <si>
    <t>RULLAKOITA</t>
  </si>
  <si>
    <t>Ylim. Työaika - tauko</t>
  </si>
  <si>
    <t>Ylim. Työaika - keskiarvo</t>
  </si>
  <si>
    <t>Arvioitu valm. + tauko</t>
  </si>
  <si>
    <t>Tarvittavat työtunnit</t>
  </si>
  <si>
    <t>~ Per kerääjä</t>
  </si>
  <si>
    <t>Tuotteita</t>
  </si>
  <si>
    <t>Arvioitu valm. keskiarvo</t>
  </si>
  <si>
    <t>Arvioitu kesto HH:MM</t>
  </si>
  <si>
    <t>Laatikoita</t>
  </si>
  <si>
    <t>RULLAKOITA / LAATIKOITA</t>
  </si>
  <si>
    <t>PER KERÄÄJÄ</t>
  </si>
  <si>
    <t>Kierroksia</t>
  </si>
  <si>
    <t>Kierroksia/kerääjä</t>
  </si>
  <si>
    <t>Pss/laatikoita</t>
  </si>
  <si>
    <t>~ PER KERÄÄJÄ</t>
  </si>
  <si>
    <t>Rullakoita</t>
  </si>
  <si>
    <t>↻</t>
  </si>
  <si>
    <t>Rullakoita/kerääjä</t>
  </si>
  <si>
    <t>Arvioitu aika</t>
  </si>
  <si>
    <t>Ylim. Työaika</t>
  </si>
  <si>
    <t>KOKONAIS ET</t>
  </si>
  <si>
    <t>HKL KT</t>
  </si>
  <si>
    <t>MANUAL</t>
  </si>
  <si>
    <t>INSTORE</t>
  </si>
  <si>
    <t>FROZEN</t>
  </si>
  <si>
    <t>NON-FOOD INSTORE</t>
  </si>
  <si>
    <t>Items to pick</t>
  </si>
  <si>
    <t>Picking Rate pcs/h</t>
  </si>
  <si>
    <t>Shift End Time</t>
  </si>
  <si>
    <t>HC</t>
  </si>
  <si>
    <t>Time Remaining (H)</t>
  </si>
  <si>
    <t>Hours Remaining</t>
  </si>
  <si>
    <t>Total Hours Remaining</t>
  </si>
  <si>
    <t>Total Pickers</t>
  </si>
  <si>
    <t>Items per Picker</t>
  </si>
  <si>
    <t>Estimated durarion (H)</t>
  </si>
  <si>
    <t>Estimated Completion</t>
  </si>
  <si>
    <t>PICKING VOLUME</t>
  </si>
  <si>
    <t>ESTIMATED COMPLETION</t>
  </si>
  <si>
    <t>Current Time</t>
  </si>
  <si>
    <t>AMBIENT GTP</t>
  </si>
  <si>
    <t>CHILLED GTP</t>
  </si>
  <si>
    <t>Add hours required</t>
  </si>
  <si>
    <t>Add Hour Capacity</t>
  </si>
  <si>
    <t>Picking Rate pcs/h ET</t>
  </si>
  <si>
    <t>Picking Capacity</t>
  </si>
  <si>
    <t>Add Hours</t>
  </si>
  <si>
    <t>Picking Volume ET</t>
  </si>
  <si>
    <t>Breaks HH:MM</t>
  </si>
  <si>
    <t>Picking volume ET + KT</t>
  </si>
  <si>
    <t>TOTAL</t>
  </si>
  <si>
    <t>HC ET</t>
  </si>
  <si>
    <t>Picking Rate pcs/h ET + KT</t>
  </si>
  <si>
    <t>TMs Left</t>
  </si>
  <si>
    <t>Rounds Left</t>
  </si>
  <si>
    <t>XL MANUAL</t>
  </si>
  <si>
    <t>ROUNDS</t>
  </si>
  <si>
    <t>BAGS</t>
  </si>
  <si>
    <t>Excess Work Time</t>
  </si>
  <si>
    <t>TROLLEYS</t>
  </si>
  <si>
    <t>Excess Work Time - Breaks</t>
  </si>
  <si>
    <t>Excess Work Time - Avg.</t>
  </si>
  <si>
    <t>Estimated Complation</t>
  </si>
  <si>
    <t>Total Work Hous Rem.</t>
  </si>
  <si>
    <t>Est. Completion + Breaks</t>
  </si>
  <si>
    <t>Required Work Hours</t>
  </si>
  <si>
    <t>~ Per Picker</t>
  </si>
  <si>
    <t>Items</t>
  </si>
  <si>
    <t>Est Completion Avg.</t>
  </si>
  <si>
    <t>Est. Duration HH:MM</t>
  </si>
  <si>
    <t>TMs</t>
  </si>
  <si>
    <t>Picking Rounds</t>
  </si>
  <si>
    <t>Picking Rounds / Person</t>
  </si>
  <si>
    <t>Totes</t>
  </si>
  <si>
    <t>PVM</t>
  </si>
  <si>
    <t>KERÄYSVASTAAVA</t>
  </si>
  <si>
    <t>KUORMAT</t>
  </si>
  <si>
    <t>NIMI</t>
  </si>
  <si>
    <t>ALKAA</t>
  </si>
  <si>
    <t>LOPPUU</t>
  </si>
  <si>
    <t>AAMU</t>
  </si>
  <si>
    <t>Jesse</t>
  </si>
  <si>
    <t>NRO</t>
  </si>
  <si>
    <t>AIKA</t>
  </si>
  <si>
    <t>AUTO</t>
  </si>
  <si>
    <t>Juri</t>
  </si>
  <si>
    <t>Elina</t>
  </si>
  <si>
    <t>HUH 6</t>
  </si>
  <si>
    <t>Matias</t>
  </si>
  <si>
    <t>Venla</t>
  </si>
  <si>
    <t>KYLMIÖN VASTAAVA</t>
  </si>
  <si>
    <t>HUH 5</t>
  </si>
  <si>
    <t>Veera S</t>
  </si>
  <si>
    <t>Veera Var</t>
  </si>
  <si>
    <t>Nea</t>
  </si>
  <si>
    <t>HUH 7</t>
  </si>
  <si>
    <t>Pia</t>
  </si>
  <si>
    <t>Emma</t>
  </si>
  <si>
    <t>TAUOTTAJA</t>
  </si>
  <si>
    <t>HUH 1</t>
  </si>
  <si>
    <t>Kaisa</t>
  </si>
  <si>
    <t xml:space="preserve">Sara </t>
  </si>
  <si>
    <t>KASSAUS</t>
  </si>
  <si>
    <t>Priima 7</t>
  </si>
  <si>
    <t>Arttu</t>
  </si>
  <si>
    <t>Sofie</t>
  </si>
  <si>
    <t>HUH 8</t>
  </si>
  <si>
    <t>Petra</t>
  </si>
  <si>
    <t>Olivia J</t>
  </si>
  <si>
    <t>Mira</t>
  </si>
  <si>
    <t>Priima 9</t>
  </si>
  <si>
    <t>Lumikki</t>
  </si>
  <si>
    <t>Mia</t>
  </si>
  <si>
    <t>Meri K</t>
  </si>
  <si>
    <t>Teresa</t>
  </si>
  <si>
    <t>HUH 2</t>
  </si>
  <si>
    <t>Roosa</t>
  </si>
  <si>
    <t>Saara K</t>
  </si>
  <si>
    <t>HUH 4</t>
  </si>
  <si>
    <t>Meri L</t>
  </si>
  <si>
    <t>ILTA</t>
  </si>
  <si>
    <t>HUH 3</t>
  </si>
  <si>
    <t>Taina</t>
  </si>
  <si>
    <t>Julia</t>
  </si>
  <si>
    <t>YHDISTELY / ILTA</t>
  </si>
  <si>
    <t>Priima 8</t>
  </si>
  <si>
    <t>Silja</t>
  </si>
  <si>
    <t>Jyrki</t>
  </si>
  <si>
    <t>PUUTEKERÄYS 07:15-08:15</t>
  </si>
  <si>
    <t>HUH 10</t>
  </si>
  <si>
    <t>Niki</t>
  </si>
  <si>
    <t>Viljami</t>
  </si>
  <si>
    <t>07:00 / 08:00</t>
  </si>
  <si>
    <t>Valtteri</t>
  </si>
  <si>
    <t>Ossi</t>
  </si>
  <si>
    <t>LAATIKONMUODOSTAJA</t>
  </si>
  <si>
    <t>Priima ?</t>
  </si>
  <si>
    <t>LÄMMIN KUORMA</t>
  </si>
  <si>
    <t>INFO</t>
  </si>
  <si>
    <t>Haval</t>
  </si>
  <si>
    <t>Evelin</t>
  </si>
  <si>
    <t>Sampo</t>
  </si>
  <si>
    <t>HUH 9</t>
  </si>
  <si>
    <t>KYLMÄ KUORMA</t>
  </si>
  <si>
    <t>Susanna</t>
  </si>
  <si>
    <t>Niina</t>
  </si>
  <si>
    <t>Veera F</t>
  </si>
  <si>
    <t>Elsa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</si>
</sst>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[$-F400]h:mm:ss\ AM/PM"/>
    <numFmt numFmtId="165" formatCode="h:mm;@"/>
    <numFmt numFmtId="166" formatCode="0.0"/>
    <numFmt numFmtId="167" formatCode="h:mm:ss;@"/>
    <numFmt numFmtId="168" formatCode="[h]:mm"/>
    <numFmt numFmtId="169" formatCode="mm/dd/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u/>
      <sz val="20"/>
      <color rgb="FF000000"/>
      <name val="Calibri"/>
      <scheme val="minor"/>
    </font>
    <font>
      <b/>
      <u/>
      <sz val="20"/>
      <color rgb="FF000000"/>
      <name val="Calibri"/>
      <family val="2"/>
      <scheme val="minor"/>
    </font>
    <font>
      <b/>
      <sz val="20"/>
      <color theme="0"/>
      <name val="Calibri"/>
      <scheme val="minor"/>
    </font>
    <font>
      <b/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7">
    <xf numFmtId="0" fontId="0" fillId="0" borderId="0" xfId="0"/>
    <xf numFmtId="0" fontId="0" fillId="2" borderId="0" xfId="0" applyFill="1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0" fontId="4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165" fontId="1" fillId="3" borderId="1" xfId="0" applyNumberFormat="1" applyFont="1" applyFill="1" applyBorder="1"/>
    <xf numFmtId="46" fontId="1" fillId="3" borderId="1" xfId="0" applyNumberFormat="1" applyFont="1" applyFill="1" applyBorder="1"/>
    <xf numFmtId="2" fontId="1" fillId="3" borderId="1" xfId="0" applyNumberFormat="1" applyFont="1" applyFill="1" applyBorder="1"/>
    <xf numFmtId="0" fontId="3" fillId="5" borderId="1" xfId="0" applyFont="1" applyFill="1" applyBorder="1"/>
    <xf numFmtId="0" fontId="3" fillId="5" borderId="1" xfId="0" applyFont="1" applyFill="1" applyBorder="1" applyProtection="1">
      <protection hidden="1"/>
    </xf>
    <xf numFmtId="0" fontId="1" fillId="3" borderId="1" xfId="0" applyFont="1" applyFill="1" applyBorder="1" applyProtection="1">
      <protection hidden="1"/>
    </xf>
    <xf numFmtId="165" fontId="1" fillId="3" borderId="1" xfId="0" applyNumberFormat="1" applyFont="1" applyFill="1" applyBorder="1" applyProtection="1">
      <protection hidden="1"/>
    </xf>
    <xf numFmtId="46" fontId="1" fillId="3" borderId="1" xfId="0" applyNumberFormat="1" applyFont="1" applyFill="1" applyBorder="1" applyProtection="1">
      <protection hidden="1"/>
    </xf>
    <xf numFmtId="2" fontId="1" fillId="3" borderId="1" xfId="0" applyNumberFormat="1" applyFont="1" applyFill="1" applyBorder="1" applyProtection="1">
      <protection hidden="1"/>
    </xf>
    <xf numFmtId="0" fontId="3" fillId="11" borderId="1" xfId="0" applyFont="1" applyFill="1" applyBorder="1"/>
    <xf numFmtId="166" fontId="1" fillId="3" borderId="1" xfId="0" applyNumberFormat="1" applyFont="1" applyFill="1" applyBorder="1"/>
    <xf numFmtId="0" fontId="0" fillId="2" borderId="2" xfId="0" applyFill="1" applyBorder="1"/>
    <xf numFmtId="165" fontId="1" fillId="3" borderId="1" xfId="0" applyNumberFormat="1" applyFont="1" applyFill="1" applyBorder="1" applyAlignment="1">
      <alignment horizontal="right"/>
    </xf>
    <xf numFmtId="0" fontId="3" fillId="10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6" borderId="1" xfId="0" applyFont="1" applyFill="1" applyBorder="1"/>
    <xf numFmtId="0" fontId="3" fillId="13" borderId="1" xfId="0" applyFont="1" applyFill="1" applyBorder="1"/>
    <xf numFmtId="0" fontId="3" fillId="10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166" fontId="1" fillId="3" borderId="1" xfId="0" applyNumberFormat="1" applyFon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166" fontId="0" fillId="2" borderId="1" xfId="0" applyNumberFormat="1" applyFill="1" applyBorder="1"/>
    <xf numFmtId="0" fontId="3" fillId="3" borderId="0" xfId="0" applyFont="1" applyFill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4" xfId="0" applyFill="1" applyBorder="1" applyAlignment="1">
      <alignment wrapText="1"/>
    </xf>
    <xf numFmtId="0" fontId="0" fillId="12" borderId="0" xfId="0" applyFill="1"/>
    <xf numFmtId="0" fontId="1" fillId="4" borderId="3" xfId="0" applyFont="1" applyFill="1" applyBorder="1" applyAlignment="1">
      <alignment horizontal="left"/>
    </xf>
    <xf numFmtId="0" fontId="3" fillId="5" borderId="5" xfId="0" applyFont="1" applyFill="1" applyBorder="1"/>
    <xf numFmtId="165" fontId="1" fillId="3" borderId="5" xfId="0" applyNumberFormat="1" applyFont="1" applyFill="1" applyBorder="1"/>
    <xf numFmtId="0" fontId="3" fillId="5" borderId="5" xfId="0" applyFont="1" applyFill="1" applyBorder="1" applyProtection="1">
      <protection hidden="1"/>
    </xf>
    <xf numFmtId="165" fontId="1" fillId="3" borderId="5" xfId="0" applyNumberFormat="1" applyFont="1" applyFill="1" applyBorder="1" applyProtection="1">
      <protection hidden="1"/>
    </xf>
    <xf numFmtId="0" fontId="0" fillId="2" borderId="6" xfId="0" applyFill="1" applyBorder="1"/>
    <xf numFmtId="0" fontId="4" fillId="2" borderId="0" xfId="0" applyFont="1" applyFill="1"/>
    <xf numFmtId="0" fontId="3" fillId="5" borderId="2" xfId="0" applyFont="1" applyFill="1" applyBorder="1" applyProtection="1">
      <protection hidden="1"/>
    </xf>
    <xf numFmtId="46" fontId="1" fillId="3" borderId="2" xfId="0" applyNumberFormat="1" applyFont="1" applyFill="1" applyBorder="1" applyProtection="1">
      <protection hidden="1"/>
    </xf>
    <xf numFmtId="0" fontId="1" fillId="3" borderId="2" xfId="0" applyFont="1" applyFill="1" applyBorder="1" applyProtection="1">
      <protection hidden="1"/>
    </xf>
    <xf numFmtId="0" fontId="0" fillId="2" borderId="8" xfId="0" applyFill="1" applyBorder="1"/>
    <xf numFmtId="0" fontId="1" fillId="3" borderId="2" xfId="0" applyFont="1" applyFill="1" applyBorder="1"/>
    <xf numFmtId="0" fontId="3" fillId="10" borderId="3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13" borderId="3" xfId="0" applyFont="1" applyFill="1" applyBorder="1" applyAlignment="1">
      <alignment horizontal="left"/>
    </xf>
    <xf numFmtId="0" fontId="3" fillId="11" borderId="3" xfId="0" applyFont="1" applyFill="1" applyBorder="1"/>
    <xf numFmtId="0" fontId="0" fillId="0" borderId="9" xfId="0" applyBorder="1"/>
    <xf numFmtId="165" fontId="1" fillId="3" borderId="2" xfId="0" applyNumberFormat="1" applyFont="1" applyFill="1" applyBorder="1"/>
    <xf numFmtId="0" fontId="3" fillId="10" borderId="10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3" fillId="8" borderId="10" xfId="0" applyFont="1" applyFill="1" applyBorder="1" applyAlignment="1">
      <alignment horizontal="left"/>
    </xf>
    <xf numFmtId="0" fontId="3" fillId="9" borderId="10" xfId="0" applyFont="1" applyFill="1" applyBorder="1" applyAlignment="1">
      <alignment horizontal="left"/>
    </xf>
    <xf numFmtId="0" fontId="3" fillId="6" borderId="10" xfId="0" applyFont="1" applyFill="1" applyBorder="1" applyAlignment="1">
      <alignment horizontal="left"/>
    </xf>
    <xf numFmtId="0" fontId="3" fillId="13" borderId="10" xfId="0" applyFont="1" applyFill="1" applyBorder="1" applyAlignment="1">
      <alignment horizontal="left"/>
    </xf>
    <xf numFmtId="46" fontId="1" fillId="3" borderId="3" xfId="0" applyNumberFormat="1" applyFont="1" applyFill="1" applyBorder="1"/>
    <xf numFmtId="0" fontId="3" fillId="10" borderId="3" xfId="0" applyFont="1" applyFill="1" applyBorder="1"/>
    <xf numFmtId="0" fontId="3" fillId="7" borderId="3" xfId="0" applyFont="1" applyFill="1" applyBorder="1"/>
    <xf numFmtId="0" fontId="3" fillId="8" borderId="3" xfId="0" applyFont="1" applyFill="1" applyBorder="1"/>
    <xf numFmtId="0" fontId="3" fillId="9" borderId="3" xfId="0" applyFont="1" applyFill="1" applyBorder="1"/>
    <xf numFmtId="0" fontId="3" fillId="6" borderId="3" xfId="0" applyFont="1" applyFill="1" applyBorder="1"/>
    <xf numFmtId="0" fontId="3" fillId="13" borderId="3" xfId="0" applyFont="1" applyFill="1" applyBorder="1"/>
    <xf numFmtId="0" fontId="4" fillId="5" borderId="5" xfId="0" applyFont="1" applyFill="1" applyBorder="1"/>
    <xf numFmtId="0" fontId="0" fillId="0" borderId="11" xfId="0" applyBorder="1"/>
    <xf numFmtId="0" fontId="1" fillId="3" borderId="4" xfId="0" applyFont="1" applyFill="1" applyBorder="1"/>
    <xf numFmtId="0" fontId="0" fillId="0" borderId="1" xfId="0" applyBorder="1" applyProtection="1">
      <protection locked="0"/>
    </xf>
    <xf numFmtId="0" fontId="0" fillId="4" borderId="1" xfId="0" applyFill="1" applyBorder="1" applyProtection="1">
      <protection locked="0"/>
    </xf>
    <xf numFmtId="22" fontId="1" fillId="3" borderId="3" xfId="0" applyNumberFormat="1" applyFont="1" applyFill="1" applyBorder="1"/>
    <xf numFmtId="0" fontId="3" fillId="11" borderId="1" xfId="0" applyFont="1" applyFill="1" applyBorder="1" applyAlignment="1" applyProtection="1">
      <alignment horizontal="left"/>
      <protection hidden="1"/>
    </xf>
    <xf numFmtId="165" fontId="1" fillId="3" borderId="2" xfId="0" applyNumberFormat="1" applyFont="1" applyFill="1" applyBorder="1" applyAlignment="1" applyProtection="1">
      <alignment horizontal="right"/>
      <protection hidden="1"/>
    </xf>
    <xf numFmtId="1" fontId="1" fillId="3" borderId="2" xfId="0" applyNumberFormat="1" applyFont="1" applyFill="1" applyBorder="1" applyAlignment="1" applyProtection="1">
      <alignment horizontal="right"/>
      <protection hidden="1"/>
    </xf>
    <xf numFmtId="1" fontId="1" fillId="3" borderId="2" xfId="0" applyNumberFormat="1" applyFont="1" applyFill="1" applyBorder="1" applyAlignment="1" applyProtection="1">
      <alignment horizontal="left"/>
      <protection hidden="1"/>
    </xf>
    <xf numFmtId="2" fontId="1" fillId="3" borderId="1" xfId="0" applyNumberFormat="1" applyFont="1" applyFill="1" applyBorder="1" applyAlignment="1" applyProtection="1">
      <alignment horizontal="right"/>
      <protection hidden="1"/>
    </xf>
    <xf numFmtId="166" fontId="0" fillId="4" borderId="1" xfId="0" applyNumberFormat="1" applyFill="1" applyBorder="1" applyAlignment="1" applyProtection="1">
      <alignment horizontal="right"/>
      <protection hidden="1"/>
    </xf>
    <xf numFmtId="167" fontId="1" fillId="3" borderId="3" xfId="0" applyNumberFormat="1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2" xfId="0" applyFill="1" applyBorder="1" applyAlignment="1" applyProtection="1">
      <alignment horizontal="center"/>
      <protection hidden="1"/>
    </xf>
    <xf numFmtId="0" fontId="1" fillId="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hidden="1"/>
    </xf>
    <xf numFmtId="0" fontId="0" fillId="3" borderId="2" xfId="0" applyFill="1" applyBorder="1" applyAlignment="1">
      <alignment horizontal="center"/>
    </xf>
    <xf numFmtId="0" fontId="5" fillId="13" borderId="2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/>
    </xf>
    <xf numFmtId="0" fontId="3" fillId="5" borderId="1" xfId="0" applyFont="1" applyFill="1" applyBorder="1" applyAlignment="1" applyProtection="1">
      <alignment horizontal="left"/>
      <protection hidden="1"/>
    </xf>
    <xf numFmtId="46" fontId="1" fillId="3" borderId="0" xfId="0" applyNumberFormat="1" applyFont="1" applyFill="1"/>
    <xf numFmtId="0" fontId="3" fillId="5" borderId="3" xfId="0" applyFont="1" applyFill="1" applyBorder="1" applyAlignment="1">
      <alignment horizontal="left"/>
    </xf>
    <xf numFmtId="168" fontId="1" fillId="3" borderId="2" xfId="0" applyNumberFormat="1" applyFont="1" applyFill="1" applyBorder="1" applyAlignment="1" applyProtection="1">
      <alignment horizontal="right"/>
      <protection hidden="1"/>
    </xf>
    <xf numFmtId="0" fontId="3" fillId="5" borderId="2" xfId="0" applyFont="1" applyFill="1" applyBorder="1" applyAlignment="1">
      <alignment horizontal="left"/>
    </xf>
    <xf numFmtId="0" fontId="3" fillId="14" borderId="0" xfId="0" applyFont="1" applyFill="1"/>
    <xf numFmtId="0" fontId="3" fillId="14" borderId="0" xfId="0" applyFont="1" applyFill="1" applyAlignment="1">
      <alignment horizontal="left" vertical="top" wrapText="1"/>
    </xf>
    <xf numFmtId="166" fontId="1" fillId="3" borderId="0" xfId="0" applyNumberFormat="1" applyFont="1" applyFill="1"/>
    <xf numFmtId="20" fontId="0" fillId="0" borderId="0" xfId="0" applyNumberFormat="1"/>
    <xf numFmtId="0" fontId="3" fillId="0" borderId="0" xfId="0" applyFont="1" applyAlignment="1">
      <alignment horizontal="left"/>
    </xf>
    <xf numFmtId="20" fontId="3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left"/>
    </xf>
    <xf numFmtId="0" fontId="0" fillId="15" borderId="0" xfId="0" applyFill="1"/>
    <xf numFmtId="0" fontId="3" fillId="5" borderId="7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46" fontId="1" fillId="3" borderId="9" xfId="0" applyNumberFormat="1" applyFont="1" applyFill="1" applyBorder="1"/>
    <xf numFmtId="46" fontId="1" fillId="3" borderId="5" xfId="0" applyNumberFormat="1" applyFont="1" applyFill="1" applyBorder="1" applyProtection="1">
      <protection hidden="1"/>
    </xf>
    <xf numFmtId="46" fontId="1" fillId="3" borderId="7" xfId="0" applyNumberFormat="1" applyFont="1" applyFill="1" applyBorder="1" applyProtection="1">
      <protection hidden="1"/>
    </xf>
    <xf numFmtId="0" fontId="3" fillId="5" borderId="4" xfId="0" applyFont="1" applyFill="1" applyBorder="1" applyAlignment="1" applyProtection="1">
      <alignment horizontal="left"/>
      <protection hidden="1"/>
    </xf>
    <xf numFmtId="0" fontId="1" fillId="16" borderId="2" xfId="0" applyFont="1" applyFill="1" applyBorder="1" applyProtection="1">
      <protection hidden="1"/>
    </xf>
    <xf numFmtId="46" fontId="1" fillId="16" borderId="9" xfId="0" applyNumberFormat="1" applyFont="1" applyFill="1" applyBorder="1"/>
    <xf numFmtId="2" fontId="1" fillId="16" borderId="1" xfId="0" applyNumberFormat="1" applyFont="1" applyFill="1" applyBorder="1" applyAlignment="1" applyProtection="1">
      <alignment horizontal="right"/>
      <protection hidden="1"/>
    </xf>
    <xf numFmtId="164" fontId="0" fillId="2" borderId="2" xfId="0" applyNumberFormat="1" applyFill="1" applyBorder="1"/>
    <xf numFmtId="165" fontId="1" fillId="3" borderId="9" xfId="0" applyNumberFormat="1" applyFont="1" applyFill="1" applyBorder="1"/>
    <xf numFmtId="168" fontId="1" fillId="3" borderId="9" xfId="0" applyNumberFormat="1" applyFont="1" applyFill="1" applyBorder="1"/>
    <xf numFmtId="0" fontId="0" fillId="3" borderId="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5" fillId="10" borderId="2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3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5" fillId="9" borderId="10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0" fillId="2" borderId="15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6" fontId="0" fillId="2" borderId="5" xfId="0" applyNumberFormat="1" applyFill="1" applyBorder="1"/>
    <xf numFmtId="0" fontId="0" fillId="2" borderId="12" xfId="0" applyFill="1" applyBorder="1"/>
    <xf numFmtId="0" fontId="3" fillId="5" borderId="17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166" fontId="1" fillId="3" borderId="19" xfId="0" applyNumberFormat="1" applyFont="1" applyFill="1" applyBorder="1" applyAlignment="1">
      <alignment horizontal="right"/>
    </xf>
    <xf numFmtId="166" fontId="1" fillId="3" borderId="20" xfId="0" applyNumberFormat="1" applyFont="1" applyFill="1" applyBorder="1" applyAlignment="1">
      <alignment horizontal="right"/>
    </xf>
    <xf numFmtId="0" fontId="1" fillId="2" borderId="2" xfId="0" applyFont="1" applyFill="1" applyBorder="1"/>
    <xf numFmtId="0" fontId="3" fillId="11" borderId="9" xfId="0" applyFont="1" applyFill="1" applyBorder="1"/>
    <xf numFmtId="0" fontId="4" fillId="2" borderId="2" xfId="0" applyFont="1" applyFill="1" applyBorder="1"/>
    <xf numFmtId="0" fontId="3" fillId="11" borderId="5" xfId="0" applyFont="1" applyFill="1" applyBorder="1" applyAlignment="1" applyProtection="1">
      <alignment horizontal="left"/>
      <protection hidden="1"/>
    </xf>
    <xf numFmtId="0" fontId="3" fillId="5" borderId="4" xfId="0" applyFont="1" applyFill="1" applyBorder="1" applyProtection="1">
      <protection hidden="1"/>
    </xf>
    <xf numFmtId="0" fontId="3" fillId="13" borderId="12" xfId="0" applyFont="1" applyFill="1" applyBorder="1"/>
    <xf numFmtId="0" fontId="3" fillId="5" borderId="16" xfId="0" applyFont="1" applyFill="1" applyBorder="1" applyAlignment="1">
      <alignment horizontal="left"/>
    </xf>
    <xf numFmtId="0" fontId="3" fillId="5" borderId="27" xfId="0" applyFont="1" applyFill="1" applyBorder="1" applyAlignment="1">
      <alignment horizontal="left"/>
    </xf>
    <xf numFmtId="0" fontId="3" fillId="13" borderId="9" xfId="0" applyFont="1" applyFill="1" applyBorder="1" applyAlignment="1">
      <alignment horizontal="left"/>
    </xf>
    <xf numFmtId="0" fontId="3" fillId="10" borderId="9" xfId="0" applyFont="1" applyFill="1" applyBorder="1" applyAlignment="1">
      <alignment horizontal="left"/>
    </xf>
    <xf numFmtId="0" fontId="3" fillId="7" borderId="9" xfId="0" applyFont="1" applyFill="1" applyBorder="1" applyAlignment="1">
      <alignment horizontal="left"/>
    </xf>
    <xf numFmtId="0" fontId="3" fillId="8" borderId="9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0" fontId="3" fillId="9" borderId="9" xfId="0" applyFont="1" applyFill="1" applyBorder="1" applyAlignment="1">
      <alignment horizontal="left"/>
    </xf>
    <xf numFmtId="2" fontId="0" fillId="0" borderId="0" xfId="0" applyNumberFormat="1"/>
    <xf numFmtId="166" fontId="1" fillId="3" borderId="9" xfId="0" applyNumberFormat="1" applyFont="1" applyFill="1" applyBorder="1"/>
    <xf numFmtId="0" fontId="0" fillId="2" borderId="13" xfId="0" applyFill="1" applyBorder="1"/>
    <xf numFmtId="0" fontId="1" fillId="3" borderId="9" xfId="0" applyFont="1" applyFill="1" applyBorder="1"/>
    <xf numFmtId="0" fontId="1" fillId="4" borderId="9" xfId="0" applyFont="1" applyFill="1" applyBorder="1" applyAlignment="1">
      <alignment horizontal="left"/>
    </xf>
    <xf numFmtId="0" fontId="3" fillId="14" borderId="9" xfId="0" applyFont="1" applyFill="1" applyBorder="1"/>
    <xf numFmtId="0" fontId="3" fillId="14" borderId="9" xfId="0" applyFont="1" applyFill="1" applyBorder="1" applyAlignment="1">
      <alignment horizontal="left" vertical="top" wrapText="1"/>
    </xf>
    <xf numFmtId="0" fontId="3" fillId="10" borderId="9" xfId="0" applyFont="1" applyFill="1" applyBorder="1"/>
    <xf numFmtId="166" fontId="1" fillId="3" borderId="9" xfId="0" applyNumberFormat="1" applyFont="1" applyFill="1" applyBorder="1" applyAlignment="1">
      <alignment horizontal="right"/>
    </xf>
    <xf numFmtId="0" fontId="3" fillId="7" borderId="9" xfId="0" applyFont="1" applyFill="1" applyBorder="1"/>
    <xf numFmtId="0" fontId="3" fillId="8" borderId="9" xfId="0" applyFont="1" applyFill="1" applyBorder="1"/>
    <xf numFmtId="0" fontId="3" fillId="9" borderId="9" xfId="0" applyFont="1" applyFill="1" applyBorder="1"/>
    <xf numFmtId="0" fontId="3" fillId="6" borderId="9" xfId="0" applyFont="1" applyFill="1" applyBorder="1"/>
    <xf numFmtId="0" fontId="3" fillId="13" borderId="9" xfId="0" applyFont="1" applyFill="1" applyBorder="1"/>
    <xf numFmtId="0" fontId="0" fillId="2" borderId="10" xfId="0" applyFill="1" applyBorder="1"/>
    <xf numFmtId="0" fontId="1" fillId="2" borderId="1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15" xfId="0" applyFill="1" applyBorder="1"/>
    <xf numFmtId="0" fontId="3" fillId="5" borderId="8" xfId="0" applyFont="1" applyFill="1" applyBorder="1" applyAlignment="1" applyProtection="1">
      <alignment horizontal="left"/>
      <protection hidden="1"/>
    </xf>
    <xf numFmtId="0" fontId="1" fillId="3" borderId="8" xfId="0" applyFont="1" applyFill="1" applyBorder="1" applyProtection="1">
      <protection hidden="1"/>
    </xf>
    <xf numFmtId="0" fontId="3" fillId="5" borderId="32" xfId="0" applyFont="1" applyFill="1" applyBorder="1" applyProtection="1">
      <protection hidden="1"/>
    </xf>
    <xf numFmtId="0" fontId="1" fillId="3" borderId="33" xfId="0" applyFont="1" applyFill="1" applyBorder="1" applyProtection="1">
      <protection hidden="1"/>
    </xf>
    <xf numFmtId="2" fontId="1" fillId="16" borderId="32" xfId="0" applyNumberFormat="1" applyFont="1" applyFill="1" applyBorder="1" applyAlignment="1" applyProtection="1">
      <alignment horizontal="right"/>
      <protection hidden="1"/>
    </xf>
    <xf numFmtId="0" fontId="3" fillId="11" borderId="11" xfId="0" applyFont="1" applyFill="1" applyBorder="1"/>
    <xf numFmtId="165" fontId="1" fillId="3" borderId="11" xfId="0" applyNumberFormat="1" applyFont="1" applyFill="1" applyBorder="1"/>
    <xf numFmtId="0" fontId="1" fillId="3" borderId="5" xfId="0" applyFont="1" applyFill="1" applyBorder="1" applyProtection="1">
      <protection hidden="1"/>
    </xf>
    <xf numFmtId="165" fontId="1" fillId="3" borderId="4" xfId="0" applyNumberFormat="1" applyFont="1" applyFill="1" applyBorder="1" applyProtection="1">
      <protection hidden="1"/>
    </xf>
    <xf numFmtId="0" fontId="1" fillId="3" borderId="4" xfId="0" applyFont="1" applyFill="1" applyBorder="1" applyProtection="1">
      <protection hidden="1"/>
    </xf>
    <xf numFmtId="46" fontId="1" fillId="3" borderId="4" xfId="0" applyNumberFormat="1" applyFont="1" applyFill="1" applyBorder="1" applyProtection="1">
      <protection hidden="1"/>
    </xf>
    <xf numFmtId="46" fontId="1" fillId="3" borderId="8" xfId="0" applyNumberFormat="1" applyFont="1" applyFill="1" applyBorder="1" applyProtection="1">
      <protection hidden="1"/>
    </xf>
    <xf numFmtId="165" fontId="1" fillId="3" borderId="32" xfId="0" applyNumberFormat="1" applyFont="1" applyFill="1" applyBorder="1"/>
    <xf numFmtId="0" fontId="1" fillId="3" borderId="32" xfId="0" applyFont="1" applyFill="1" applyBorder="1" applyProtection="1">
      <protection hidden="1"/>
    </xf>
    <xf numFmtId="46" fontId="1" fillId="3" borderId="32" xfId="0" applyNumberFormat="1" applyFont="1" applyFill="1" applyBorder="1" applyProtection="1">
      <protection hidden="1"/>
    </xf>
    <xf numFmtId="46" fontId="1" fillId="3" borderId="34" xfId="0" applyNumberFormat="1" applyFont="1" applyFill="1" applyBorder="1" applyProtection="1">
      <protection hidden="1"/>
    </xf>
    <xf numFmtId="0" fontId="3" fillId="5" borderId="35" xfId="0" applyFont="1" applyFill="1" applyBorder="1" applyAlignment="1" applyProtection="1">
      <alignment horizontal="left"/>
      <protection hidden="1"/>
    </xf>
    <xf numFmtId="46" fontId="1" fillId="3" borderId="36" xfId="0" applyNumberFormat="1" applyFont="1" applyFill="1" applyBorder="1" applyAlignment="1">
      <alignment horizontal="right"/>
    </xf>
    <xf numFmtId="0" fontId="0" fillId="4" borderId="1" xfId="0" applyFill="1" applyBorder="1"/>
    <xf numFmtId="46" fontId="0" fillId="0" borderId="0" xfId="0" applyNumberFormat="1"/>
    <xf numFmtId="44" fontId="0" fillId="0" borderId="0" xfId="0" applyNumberFormat="1"/>
    <xf numFmtId="165" fontId="9" fillId="3" borderId="9" xfId="0" applyNumberFormat="1" applyFont="1" applyFill="1" applyBorder="1"/>
    <xf numFmtId="0" fontId="3" fillId="5" borderId="7" xfId="0" applyFont="1" applyFill="1" applyBorder="1" applyProtection="1">
      <protection hidden="1"/>
    </xf>
    <xf numFmtId="168" fontId="1" fillId="18" borderId="9" xfId="0" applyNumberFormat="1" applyFont="1" applyFill="1" applyBorder="1"/>
    <xf numFmtId="46" fontId="1" fillId="3" borderId="11" xfId="0" applyNumberFormat="1" applyFont="1" applyFill="1" applyBorder="1" applyAlignment="1">
      <alignment horizontal="right"/>
    </xf>
    <xf numFmtId="168" fontId="1" fillId="3" borderId="8" xfId="0" applyNumberFormat="1" applyFont="1" applyFill="1" applyBorder="1" applyAlignment="1" applyProtection="1">
      <alignment horizontal="right"/>
      <protection hidden="1"/>
    </xf>
    <xf numFmtId="2" fontId="1" fillId="3" borderId="2" xfId="0" applyNumberFormat="1" applyFont="1" applyFill="1" applyBorder="1"/>
    <xf numFmtId="46" fontId="1" fillId="3" borderId="2" xfId="0" applyNumberFormat="1" applyFont="1" applyFill="1" applyBorder="1"/>
    <xf numFmtId="0" fontId="1" fillId="3" borderId="5" xfId="0" applyFont="1" applyFill="1" applyBorder="1"/>
    <xf numFmtId="0" fontId="3" fillId="5" borderId="4" xfId="0" applyFont="1" applyFill="1" applyBorder="1"/>
    <xf numFmtId="165" fontId="1" fillId="3" borderId="4" xfId="0" applyNumberFormat="1" applyFont="1" applyFill="1" applyBorder="1"/>
    <xf numFmtId="0" fontId="0" fillId="3" borderId="37" xfId="0" applyFill="1" applyBorder="1" applyAlignment="1">
      <alignment horizontal="center"/>
    </xf>
    <xf numFmtId="46" fontId="0" fillId="3" borderId="38" xfId="0" applyNumberFormat="1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46" fontId="0" fillId="3" borderId="39" xfId="0" applyNumberFormat="1" applyFill="1" applyBorder="1" applyAlignment="1">
      <alignment horizontal="center"/>
    </xf>
    <xf numFmtId="0" fontId="3" fillId="10" borderId="9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left" vertical="top" wrapText="1"/>
    </xf>
    <xf numFmtId="21" fontId="0" fillId="3" borderId="7" xfId="0" applyNumberFormat="1" applyFill="1" applyBorder="1"/>
    <xf numFmtId="21" fontId="0" fillId="3" borderId="12" xfId="0" applyNumberFormat="1" applyFill="1" applyBorder="1"/>
    <xf numFmtId="21" fontId="0" fillId="3" borderId="8" xfId="0" applyNumberFormat="1" applyFill="1" applyBorder="1"/>
    <xf numFmtId="21" fontId="0" fillId="3" borderId="6" xfId="0" applyNumberFormat="1" applyFill="1" applyBorder="1"/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1" fillId="19" borderId="45" xfId="0" applyFont="1" applyFill="1" applyBorder="1"/>
    <xf numFmtId="0" fontId="0" fillId="4" borderId="0" xfId="0" applyFill="1"/>
    <xf numFmtId="0" fontId="1" fillId="19" borderId="50" xfId="0" applyFont="1" applyFill="1" applyBorder="1"/>
    <xf numFmtId="0" fontId="1" fillId="19" borderId="51" xfId="0" applyFont="1" applyFill="1" applyBorder="1"/>
    <xf numFmtId="0" fontId="1" fillId="19" borderId="52" xfId="0" applyFont="1" applyFill="1" applyBorder="1"/>
    <xf numFmtId="0" fontId="1" fillId="19" borderId="53" xfId="0" applyFont="1" applyFill="1" applyBorder="1"/>
    <xf numFmtId="0" fontId="1" fillId="19" borderId="5" xfId="0" applyFont="1" applyFill="1" applyBorder="1"/>
    <xf numFmtId="0" fontId="1" fillId="19" borderId="54" xfId="0" applyFont="1" applyFill="1" applyBorder="1"/>
    <xf numFmtId="0" fontId="0" fillId="4" borderId="60" xfId="0" applyFill="1" applyBorder="1" applyProtection="1">
      <protection locked="0"/>
    </xf>
    <xf numFmtId="20" fontId="0" fillId="4" borderId="4" xfId="0" applyNumberFormat="1" applyFill="1" applyBorder="1" applyProtection="1">
      <protection locked="0"/>
    </xf>
    <xf numFmtId="20" fontId="0" fillId="4" borderId="61" xfId="0" applyNumberFormat="1" applyFill="1" applyBorder="1" applyProtection="1">
      <protection locked="0"/>
    </xf>
    <xf numFmtId="0" fontId="0" fillId="4" borderId="62" xfId="0" applyFill="1" applyBorder="1" applyProtection="1">
      <protection locked="0"/>
    </xf>
    <xf numFmtId="20" fontId="0" fillId="4" borderId="1" xfId="0" applyNumberFormat="1" applyFill="1" applyBorder="1" applyProtection="1">
      <protection locked="0"/>
    </xf>
    <xf numFmtId="20" fontId="0" fillId="4" borderId="63" xfId="0" applyNumberFormat="1" applyFill="1" applyBorder="1" applyProtection="1">
      <protection locked="0"/>
    </xf>
    <xf numFmtId="0" fontId="0" fillId="4" borderId="51" xfId="0" applyFill="1" applyBorder="1" applyProtection="1">
      <protection locked="0"/>
    </xf>
    <xf numFmtId="0" fontId="0" fillId="4" borderId="52" xfId="0" applyFill="1" applyBorder="1" applyProtection="1">
      <protection locked="0"/>
    </xf>
    <xf numFmtId="0" fontId="1" fillId="19" borderId="62" xfId="0" applyFont="1" applyFill="1" applyBorder="1"/>
    <xf numFmtId="0" fontId="1" fillId="19" borderId="1" xfId="0" applyFont="1" applyFill="1" applyBorder="1"/>
    <xf numFmtId="0" fontId="1" fillId="19" borderId="63" xfId="0" applyFont="1" applyFill="1" applyBorder="1"/>
    <xf numFmtId="0" fontId="0" fillId="4" borderId="63" xfId="0" applyFill="1" applyBorder="1" applyProtection="1">
      <protection locked="0"/>
    </xf>
    <xf numFmtId="0" fontId="1" fillId="19" borderId="75" xfId="0" applyFont="1" applyFill="1" applyBorder="1"/>
    <xf numFmtId="0" fontId="1" fillId="19" borderId="76" xfId="0" applyFont="1" applyFill="1" applyBorder="1"/>
    <xf numFmtId="0" fontId="1" fillId="19" borderId="77" xfId="0" applyFont="1" applyFill="1" applyBorder="1"/>
    <xf numFmtId="0" fontId="1" fillId="19" borderId="78" xfId="0" applyFont="1" applyFill="1" applyBorder="1"/>
    <xf numFmtId="20" fontId="0" fillId="4" borderId="19" xfId="0" applyNumberFormat="1" applyFill="1" applyBorder="1" applyProtection="1">
      <protection locked="0"/>
    </xf>
    <xf numFmtId="0" fontId="0" fillId="4" borderId="5" xfId="0" applyFill="1" applyBorder="1" applyProtection="1">
      <protection locked="0"/>
    </xf>
    <xf numFmtId="0" fontId="0" fillId="4" borderId="54" xfId="0" applyFill="1" applyBorder="1" applyProtection="1">
      <protection locked="0"/>
    </xf>
    <xf numFmtId="20" fontId="0" fillId="4" borderId="5" xfId="0" applyNumberFormat="1" applyFill="1" applyBorder="1" applyProtection="1">
      <protection locked="0"/>
    </xf>
    <xf numFmtId="0" fontId="1" fillId="19" borderId="46" xfId="0" applyFont="1" applyFill="1" applyBorder="1"/>
    <xf numFmtId="0" fontId="1" fillId="19" borderId="47" xfId="0" applyFont="1" applyFill="1" applyBorder="1"/>
    <xf numFmtId="20" fontId="0" fillId="4" borderId="9" xfId="0" applyNumberFormat="1" applyFill="1" applyBorder="1" applyProtection="1">
      <protection locked="0"/>
    </xf>
    <xf numFmtId="20" fontId="0" fillId="4" borderId="81" xfId="0" applyNumberFormat="1" applyFill="1" applyBorder="1" applyProtection="1">
      <protection locked="0"/>
    </xf>
    <xf numFmtId="20" fontId="0" fillId="4" borderId="82" xfId="0" applyNumberFormat="1" applyFill="1" applyBorder="1" applyProtection="1">
      <protection locked="0"/>
    </xf>
    <xf numFmtId="20" fontId="0" fillId="4" borderId="83" xfId="0" applyNumberFormat="1" applyFill="1" applyBorder="1" applyProtection="1">
      <protection locked="0"/>
    </xf>
    <xf numFmtId="0" fontId="0" fillId="4" borderId="0" xfId="0" applyFill="1" applyAlignment="1">
      <alignment vertical="top" wrapText="1"/>
    </xf>
    <xf numFmtId="0" fontId="0" fillId="4" borderId="73" xfId="0" applyFill="1" applyBorder="1" applyProtection="1">
      <protection locked="0"/>
    </xf>
    <xf numFmtId="0" fontId="0" fillId="0" borderId="0" xfId="0" applyAlignment="1" applyProtection="1">
      <alignment vertical="top"/>
      <protection locked="0"/>
    </xf>
    <xf numFmtId="0" fontId="10" fillId="0" borderId="0" xfId="0" applyFont="1" applyProtection="1">
      <protection locked="0"/>
    </xf>
    <xf numFmtId="20" fontId="10" fillId="0" borderId="0" xfId="0" applyNumberFormat="1" applyFont="1" applyProtection="1">
      <protection locked="0"/>
    </xf>
    <xf numFmtId="0" fontId="1" fillId="0" borderId="4" xfId="0" applyFont="1" applyBorder="1" applyProtection="1">
      <protection hidden="1"/>
    </xf>
    <xf numFmtId="0" fontId="1" fillId="0" borderId="1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32" xfId="0" applyFont="1" applyBorder="1" applyProtection="1">
      <protection hidden="1"/>
    </xf>
    <xf numFmtId="20" fontId="0" fillId="4" borderId="51" xfId="0" applyNumberFormat="1" applyFill="1" applyBorder="1" applyProtection="1">
      <protection locked="0"/>
    </xf>
    <xf numFmtId="20" fontId="0" fillId="4" borderId="52" xfId="0" applyNumberFormat="1" applyFill="1" applyBorder="1" applyProtection="1">
      <protection locked="0"/>
    </xf>
    <xf numFmtId="0" fontId="0" fillId="0" borderId="93" xfId="0" applyBorder="1" applyAlignment="1">
      <alignment horizontal="left"/>
    </xf>
    <xf numFmtId="0" fontId="0" fillId="0" borderId="95" xfId="0" applyBorder="1" applyAlignment="1">
      <alignment horizontal="left"/>
    </xf>
    <xf numFmtId="0" fontId="0" fillId="0" borderId="104" xfId="0" applyBorder="1" applyAlignment="1">
      <alignment horizontal="left"/>
    </xf>
    <xf numFmtId="0" fontId="0" fillId="0" borderId="105" xfId="0" applyBorder="1" applyAlignment="1">
      <alignment horizontal="left"/>
    </xf>
    <xf numFmtId="0" fontId="1" fillId="19" borderId="99" xfId="0" applyFont="1" applyFill="1" applyBorder="1"/>
    <xf numFmtId="20" fontId="1" fillId="19" borderId="100" xfId="0" applyNumberFormat="1" applyFont="1" applyFill="1" applyBorder="1"/>
    <xf numFmtId="0" fontId="1" fillId="19" borderId="101" xfId="0" applyFont="1" applyFill="1" applyBorder="1"/>
    <xf numFmtId="0" fontId="10" fillId="0" borderId="102" xfId="0" applyFont="1" applyBorder="1" applyAlignment="1">
      <alignment horizontal="left"/>
    </xf>
    <xf numFmtId="0" fontId="10" fillId="0" borderId="103" xfId="0" applyFont="1" applyBorder="1" applyAlignment="1">
      <alignment horizontal="left"/>
    </xf>
    <xf numFmtId="0" fontId="10" fillId="0" borderId="104" xfId="0" applyFont="1" applyBorder="1" applyAlignment="1">
      <alignment horizontal="left"/>
    </xf>
    <xf numFmtId="0" fontId="10" fillId="0" borderId="105" xfId="0" applyFont="1" applyBorder="1" applyAlignment="1">
      <alignment horizontal="left"/>
    </xf>
    <xf numFmtId="20" fontId="11" fillId="0" borderId="36" xfId="0" applyNumberFormat="1" applyFont="1" applyBorder="1" applyAlignment="1">
      <alignment horizontal="left"/>
    </xf>
    <xf numFmtId="20" fontId="11" fillId="0" borderId="9" xfId="0" applyNumberFormat="1" applyFont="1" applyBorder="1" applyAlignment="1">
      <alignment horizontal="left"/>
    </xf>
    <xf numFmtId="20" fontId="1" fillId="0" borderId="9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94" xfId="0" applyFont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5" fillId="8" borderId="2" xfId="0" applyFont="1" applyFill="1" applyBorder="1" applyAlignment="1">
      <alignment horizontal="left"/>
    </xf>
    <xf numFmtId="0" fontId="5" fillId="8" borderId="10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9" borderId="2" xfId="0" applyFont="1" applyFill="1" applyBorder="1" applyAlignment="1">
      <alignment horizontal="left"/>
    </xf>
    <xf numFmtId="0" fontId="5" fillId="9" borderId="10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0" fillId="2" borderId="41" xfId="0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10" borderId="2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3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0" fillId="2" borderId="34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0" fontId="3" fillId="8" borderId="9" xfId="0" applyFont="1" applyFill="1" applyBorder="1" applyAlignment="1">
      <alignment horizontal="left"/>
    </xf>
    <xf numFmtId="0" fontId="5" fillId="13" borderId="2" xfId="0" applyFont="1" applyFill="1" applyBorder="1" applyAlignment="1">
      <alignment horizontal="left"/>
    </xf>
    <xf numFmtId="0" fontId="5" fillId="13" borderId="10" xfId="0" applyFont="1" applyFill="1" applyBorder="1" applyAlignment="1">
      <alignment horizontal="left"/>
    </xf>
    <xf numFmtId="0" fontId="5" fillId="13" borderId="3" xfId="0" applyFont="1" applyFill="1" applyBorder="1" applyAlignment="1">
      <alignment horizontal="left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3" fillId="5" borderId="30" xfId="0" applyFont="1" applyFill="1" applyBorder="1" applyAlignment="1">
      <alignment horizontal="left"/>
    </xf>
    <xf numFmtId="0" fontId="3" fillId="5" borderId="31" xfId="0" applyFont="1" applyFill="1" applyBorder="1" applyAlignment="1">
      <alignment horizontal="left"/>
    </xf>
    <xf numFmtId="0" fontId="3" fillId="10" borderId="9" xfId="0" applyFont="1" applyFill="1" applyBorder="1" applyAlignment="1">
      <alignment horizontal="left"/>
    </xf>
    <xf numFmtId="0" fontId="3" fillId="7" borderId="9" xfId="0" applyFont="1" applyFill="1" applyBorder="1" applyAlignment="1">
      <alignment horizontal="left"/>
    </xf>
    <xf numFmtId="0" fontId="5" fillId="8" borderId="3" xfId="0" applyFont="1" applyFill="1" applyBorder="1" applyAlignment="1">
      <alignment horizontal="left"/>
    </xf>
    <xf numFmtId="167" fontId="7" fillId="18" borderId="25" xfId="0" applyNumberFormat="1" applyFont="1" applyFill="1" applyBorder="1" applyAlignment="1">
      <alignment horizontal="center"/>
    </xf>
    <xf numFmtId="167" fontId="7" fillId="18" borderId="21" xfId="0" applyNumberFormat="1" applyFont="1" applyFill="1" applyBorder="1" applyAlignment="1">
      <alignment horizontal="center"/>
    </xf>
    <xf numFmtId="167" fontId="7" fillId="18" borderId="26" xfId="0" applyNumberFormat="1" applyFont="1" applyFill="1" applyBorder="1" applyAlignment="1">
      <alignment horizontal="center"/>
    </xf>
    <xf numFmtId="167" fontId="7" fillId="18" borderId="22" xfId="0" applyNumberFormat="1" applyFont="1" applyFill="1" applyBorder="1" applyAlignment="1">
      <alignment horizontal="center"/>
    </xf>
    <xf numFmtId="0" fontId="3" fillId="9" borderId="9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0" fontId="3" fillId="13" borderId="9" xfId="0" applyFont="1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9" fontId="6" fillId="17" borderId="11" xfId="0" applyNumberFormat="1" applyFont="1" applyFill="1" applyBorder="1" applyAlignment="1">
      <alignment horizontal="center" wrapText="1"/>
    </xf>
    <xf numFmtId="169" fontId="6" fillId="17" borderId="36" xfId="0" applyNumberFormat="1" applyFont="1" applyFill="1" applyBorder="1" applyAlignment="1">
      <alignment horizontal="center" wrapText="1"/>
    </xf>
    <xf numFmtId="0" fontId="8" fillId="17" borderId="11" xfId="0" applyFont="1" applyFill="1" applyBorder="1" applyAlignment="1">
      <alignment horizontal="center"/>
    </xf>
    <xf numFmtId="0" fontId="8" fillId="17" borderId="36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3" borderId="2" xfId="0" applyFill="1" applyBorder="1" applyAlignment="1" applyProtection="1">
      <alignment horizontal="center"/>
      <protection hidden="1"/>
    </xf>
    <xf numFmtId="0" fontId="0" fillId="3" borderId="3" xfId="0" applyFill="1" applyBorder="1" applyAlignment="1" applyProtection="1">
      <alignment horizontal="center"/>
      <protection hidden="1"/>
    </xf>
    <xf numFmtId="0" fontId="0" fillId="3" borderId="5" xfId="0" applyFill="1" applyBorder="1" applyAlignment="1">
      <alignment horizontal="center"/>
    </xf>
    <xf numFmtId="0" fontId="3" fillId="5" borderId="7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3" borderId="7" xfId="0" applyFill="1" applyBorder="1" applyAlignment="1" applyProtection="1">
      <alignment horizontal="center"/>
      <protection hidden="1"/>
    </xf>
    <xf numFmtId="0" fontId="0" fillId="3" borderId="12" xfId="0" applyFill="1" applyBorder="1" applyAlignment="1" applyProtection="1">
      <alignment horizontal="center"/>
      <protection hidden="1"/>
    </xf>
    <xf numFmtId="0" fontId="0" fillId="3" borderId="4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1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21" fontId="0" fillId="3" borderId="7" xfId="0" applyNumberFormat="1" applyFill="1" applyBorder="1" applyAlignment="1">
      <alignment horizontal="center"/>
    </xf>
    <xf numFmtId="21" fontId="0" fillId="3" borderId="12" xfId="0" applyNumberFormat="1" applyFill="1" applyBorder="1" applyAlignment="1">
      <alignment horizontal="center"/>
    </xf>
    <xf numFmtId="21" fontId="0" fillId="3" borderId="8" xfId="0" applyNumberFormat="1" applyFill="1" applyBorder="1" applyAlignment="1">
      <alignment horizontal="center"/>
    </xf>
    <xf numFmtId="21" fontId="0" fillId="3" borderId="6" xfId="0" applyNumberFormat="1" applyFill="1" applyBorder="1" applyAlignment="1">
      <alignment horizontal="center"/>
    </xf>
    <xf numFmtId="167" fontId="7" fillId="15" borderId="25" xfId="0" applyNumberFormat="1" applyFont="1" applyFill="1" applyBorder="1" applyAlignment="1">
      <alignment horizontal="center"/>
    </xf>
    <xf numFmtId="167" fontId="7" fillId="15" borderId="21" xfId="0" applyNumberFormat="1" applyFont="1" applyFill="1" applyBorder="1" applyAlignment="1">
      <alignment horizontal="center"/>
    </xf>
    <xf numFmtId="167" fontId="7" fillId="15" borderId="26" xfId="0" applyNumberFormat="1" applyFont="1" applyFill="1" applyBorder="1" applyAlignment="1">
      <alignment horizontal="center"/>
    </xf>
    <xf numFmtId="167" fontId="7" fillId="15" borderId="22" xfId="0" applyNumberFormat="1" applyFont="1" applyFill="1" applyBorder="1" applyAlignment="1">
      <alignment horizontal="center"/>
    </xf>
    <xf numFmtId="169" fontId="6" fillId="17" borderId="28" xfId="0" applyNumberFormat="1" applyFont="1" applyFill="1" applyBorder="1" applyAlignment="1">
      <alignment horizontal="center" wrapText="1"/>
    </xf>
    <xf numFmtId="169" fontId="6" fillId="17" borderId="24" xfId="0" applyNumberFormat="1" applyFont="1" applyFill="1" applyBorder="1" applyAlignment="1">
      <alignment horizontal="center" wrapText="1"/>
    </xf>
    <xf numFmtId="0" fontId="8" fillId="17" borderId="29" xfId="0" applyFont="1" applyFill="1" applyBorder="1" applyAlignment="1">
      <alignment horizontal="center"/>
    </xf>
    <xf numFmtId="0" fontId="8" fillId="17" borderId="23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left"/>
    </xf>
    <xf numFmtId="0" fontId="3" fillId="7" borderId="31" xfId="0" applyFont="1" applyFill="1" applyBorder="1" applyAlignment="1">
      <alignment horizontal="left"/>
    </xf>
    <xf numFmtId="167" fontId="7" fillId="18" borderId="37" xfId="0" applyNumberFormat="1" applyFont="1" applyFill="1" applyBorder="1" applyAlignment="1">
      <alignment horizontal="center"/>
    </xf>
    <xf numFmtId="167" fontId="7" fillId="18" borderId="38" xfId="0" applyNumberFormat="1" applyFont="1" applyFill="1" applyBorder="1" applyAlignment="1">
      <alignment horizontal="center"/>
    </xf>
    <xf numFmtId="167" fontId="7" fillId="18" borderId="35" xfId="0" applyNumberFormat="1" applyFont="1" applyFill="1" applyBorder="1" applyAlignment="1">
      <alignment horizontal="center"/>
    </xf>
    <xf numFmtId="167" fontId="7" fillId="18" borderId="39" xfId="0" applyNumberFormat="1" applyFont="1" applyFill="1" applyBorder="1" applyAlignment="1">
      <alignment horizontal="center"/>
    </xf>
    <xf numFmtId="0" fontId="3" fillId="9" borderId="30" xfId="0" applyFont="1" applyFill="1" applyBorder="1" applyAlignment="1">
      <alignment horizontal="left"/>
    </xf>
    <xf numFmtId="0" fontId="3" fillId="9" borderId="31" xfId="0" applyFont="1" applyFill="1" applyBorder="1" applyAlignment="1">
      <alignment horizontal="left"/>
    </xf>
    <xf numFmtId="0" fontId="3" fillId="6" borderId="30" xfId="0" applyFont="1" applyFill="1" applyBorder="1" applyAlignment="1">
      <alignment horizontal="left"/>
    </xf>
    <xf numFmtId="0" fontId="3" fillId="6" borderId="31" xfId="0" applyFont="1" applyFill="1" applyBorder="1" applyAlignment="1">
      <alignment horizontal="left"/>
    </xf>
    <xf numFmtId="0" fontId="3" fillId="13" borderId="30" xfId="0" applyFont="1" applyFill="1" applyBorder="1" applyAlignment="1">
      <alignment horizontal="left"/>
    </xf>
    <xf numFmtId="0" fontId="3" fillId="13" borderId="31" xfId="0" applyFont="1" applyFill="1" applyBorder="1" applyAlignment="1">
      <alignment horizontal="left"/>
    </xf>
    <xf numFmtId="0" fontId="3" fillId="8" borderId="30" xfId="0" applyFont="1" applyFill="1" applyBorder="1" applyAlignment="1">
      <alignment horizontal="left"/>
    </xf>
    <xf numFmtId="0" fontId="3" fillId="8" borderId="31" xfId="0" applyFont="1" applyFill="1" applyBorder="1" applyAlignment="1">
      <alignment horizontal="left"/>
    </xf>
    <xf numFmtId="0" fontId="3" fillId="10" borderId="30" xfId="0" applyFont="1" applyFill="1" applyBorder="1" applyAlignment="1">
      <alignment horizontal="left"/>
    </xf>
    <xf numFmtId="0" fontId="3" fillId="10" borderId="31" xfId="0" applyFont="1" applyFill="1" applyBorder="1" applyAlignment="1">
      <alignment horizontal="left"/>
    </xf>
    <xf numFmtId="0" fontId="0" fillId="4" borderId="87" xfId="0" applyFill="1" applyBorder="1" applyAlignment="1" applyProtection="1">
      <alignment vertical="top"/>
      <protection locked="0"/>
    </xf>
    <xf numFmtId="0" fontId="0" fillId="4" borderId="88" xfId="0" applyFill="1" applyBorder="1" applyAlignment="1" applyProtection="1">
      <alignment vertical="top"/>
      <protection locked="0"/>
    </xf>
    <xf numFmtId="0" fontId="0" fillId="4" borderId="64" xfId="0" applyFill="1" applyBorder="1" applyAlignment="1" applyProtection="1">
      <alignment vertical="top"/>
      <protection locked="0"/>
    </xf>
    <xf numFmtId="0" fontId="0" fillId="4" borderId="65" xfId="0" applyFill="1" applyBorder="1" applyAlignment="1" applyProtection="1">
      <alignment vertical="top"/>
      <protection locked="0"/>
    </xf>
    <xf numFmtId="0" fontId="0" fillId="4" borderId="80" xfId="0" applyFill="1" applyBorder="1" applyAlignment="1" applyProtection="1">
      <alignment horizontal="left"/>
      <protection locked="0"/>
    </xf>
    <xf numFmtId="0" fontId="0" fillId="4" borderId="31" xfId="0" applyFill="1" applyBorder="1" applyAlignment="1" applyProtection="1">
      <alignment horizontal="left"/>
      <protection locked="0"/>
    </xf>
    <xf numFmtId="0" fontId="0" fillId="0" borderId="80" xfId="0" applyBorder="1" applyAlignment="1" applyProtection="1">
      <alignment horizontal="left"/>
      <protection locked="0"/>
    </xf>
    <xf numFmtId="0" fontId="0" fillId="0" borderId="31" xfId="0" applyBorder="1" applyAlignment="1" applyProtection="1">
      <alignment horizontal="left"/>
      <protection locked="0"/>
    </xf>
    <xf numFmtId="0" fontId="0" fillId="4" borderId="69" xfId="0" applyFill="1" applyBorder="1" applyAlignment="1" applyProtection="1">
      <alignment horizontal="left" vertical="top" wrapText="1"/>
      <protection locked="0"/>
    </xf>
    <xf numFmtId="0" fontId="0" fillId="4" borderId="70" xfId="0" applyFill="1" applyBorder="1" applyAlignment="1" applyProtection="1">
      <alignment horizontal="left" vertical="top" wrapText="1"/>
      <protection locked="0"/>
    </xf>
    <xf numFmtId="0" fontId="0" fillId="4" borderId="71" xfId="0" applyFill="1" applyBorder="1" applyAlignment="1" applyProtection="1">
      <alignment horizontal="left" vertical="top" wrapText="1"/>
      <protection locked="0"/>
    </xf>
    <xf numFmtId="0" fontId="0" fillId="4" borderId="72" xfId="0" applyFill="1" applyBorder="1" applyAlignment="1" applyProtection="1">
      <alignment horizontal="left" vertical="top" wrapText="1"/>
      <protection locked="0"/>
    </xf>
    <xf numFmtId="0" fontId="0" fillId="4" borderId="55" xfId="0" applyFill="1" applyBorder="1" applyAlignment="1" applyProtection="1">
      <alignment horizontal="left" vertical="top" wrapText="1"/>
      <protection locked="0"/>
    </xf>
    <xf numFmtId="0" fontId="0" fillId="4" borderId="56" xfId="0" applyFill="1" applyBorder="1" applyAlignment="1" applyProtection="1">
      <alignment horizontal="left" vertical="top" wrapText="1"/>
      <protection locked="0"/>
    </xf>
    <xf numFmtId="14" fontId="0" fillId="4" borderId="46" xfId="0" applyNumberFormat="1" applyFill="1" applyBorder="1" applyAlignment="1" applyProtection="1">
      <protection locked="0"/>
    </xf>
    <xf numFmtId="0" fontId="0" fillId="4" borderId="47" xfId="0" applyFill="1" applyBorder="1" applyAlignment="1" applyProtection="1">
      <protection locked="0"/>
    </xf>
    <xf numFmtId="0" fontId="1" fillId="19" borderId="84" xfId="0" applyFont="1" applyFill="1" applyBorder="1" applyAlignment="1"/>
    <xf numFmtId="0" fontId="1" fillId="19" borderId="85" xfId="0" applyFont="1" applyFill="1" applyBorder="1" applyAlignment="1"/>
    <xf numFmtId="0" fontId="1" fillId="19" borderId="86" xfId="0" applyFont="1" applyFill="1" applyBorder="1" applyAlignment="1"/>
    <xf numFmtId="0" fontId="1" fillId="19" borderId="48" xfId="0" applyFont="1" applyFill="1" applyBorder="1" applyAlignment="1"/>
    <xf numFmtId="0" fontId="1" fillId="19" borderId="49" xfId="0" applyFont="1" applyFill="1" applyBorder="1" applyAlignment="1"/>
    <xf numFmtId="0" fontId="1" fillId="19" borderId="96" xfId="0" applyFont="1" applyFill="1" applyBorder="1" applyAlignment="1"/>
    <xf numFmtId="0" fontId="1" fillId="19" borderId="97" xfId="0" applyFont="1" applyFill="1" applyBorder="1" applyAlignment="1"/>
    <xf numFmtId="0" fontId="1" fillId="19" borderId="98" xfId="0" applyFont="1" applyFill="1" applyBorder="1" applyAlignment="1"/>
    <xf numFmtId="0" fontId="0" fillId="4" borderId="55" xfId="0" applyFill="1" applyBorder="1" applyAlignment="1" applyProtection="1">
      <protection locked="0"/>
    </xf>
    <xf numFmtId="0" fontId="0" fillId="4" borderId="56" xfId="0" applyFill="1" applyBorder="1" applyAlignment="1" applyProtection="1">
      <protection locked="0"/>
    </xf>
    <xf numFmtId="0" fontId="1" fillId="19" borderId="57" xfId="0" applyFont="1" applyFill="1" applyBorder="1" applyAlignment="1"/>
    <xf numFmtId="0" fontId="1" fillId="19" borderId="58" xfId="0" applyFont="1" applyFill="1" applyBorder="1" applyAlignment="1"/>
    <xf numFmtId="0" fontId="1" fillId="19" borderId="59" xfId="0" applyFont="1" applyFill="1" applyBorder="1" applyAlignment="1"/>
    <xf numFmtId="0" fontId="1" fillId="19" borderId="64" xfId="0" applyFont="1" applyFill="1" applyBorder="1" applyAlignment="1"/>
    <xf numFmtId="0" fontId="1" fillId="19" borderId="65" xfId="0" applyFont="1" applyFill="1" applyBorder="1" applyAlignment="1"/>
    <xf numFmtId="0" fontId="0" fillId="4" borderId="57" xfId="0" applyFill="1" applyBorder="1" applyAlignment="1" applyProtection="1">
      <protection locked="0"/>
    </xf>
    <xf numFmtId="0" fontId="0" fillId="4" borderId="59" xfId="0" applyFill="1" applyBorder="1" applyAlignment="1" applyProtection="1">
      <protection locked="0"/>
    </xf>
    <xf numFmtId="0" fontId="0" fillId="4" borderId="66" xfId="0" applyFill="1" applyBorder="1" applyAlignment="1" applyProtection="1">
      <protection locked="0"/>
    </xf>
    <xf numFmtId="0" fontId="0" fillId="4" borderId="67" xfId="0" applyFill="1" applyBorder="1" applyAlignment="1" applyProtection="1">
      <protection locked="0"/>
    </xf>
    <xf numFmtId="0" fontId="0" fillId="4" borderId="64" xfId="0" applyFill="1" applyBorder="1" applyAlignment="1"/>
    <xf numFmtId="0" fontId="0" fillId="4" borderId="65" xfId="0" applyFill="1" applyBorder="1" applyAlignment="1"/>
    <xf numFmtId="0" fontId="0" fillId="4" borderId="79" xfId="0" applyFill="1" applyBorder="1" applyAlignment="1" applyProtection="1">
      <protection locked="0"/>
    </xf>
    <xf numFmtId="0" fontId="0" fillId="4" borderId="3" xfId="0" applyFill="1" applyBorder="1" applyAlignment="1" applyProtection="1">
      <protection locked="0"/>
    </xf>
    <xf numFmtId="0" fontId="0" fillId="4" borderId="64" xfId="0" applyFill="1" applyBorder="1" applyAlignment="1" applyProtection="1">
      <protection locked="0"/>
    </xf>
    <xf numFmtId="0" fontId="0" fillId="4" borderId="65" xfId="0" applyFill="1" applyBorder="1" applyAlignment="1" applyProtection="1">
      <protection locked="0"/>
    </xf>
    <xf numFmtId="0" fontId="0" fillId="4" borderId="89" xfId="0" applyFill="1" applyBorder="1" applyAlignment="1" applyProtection="1">
      <protection locked="0"/>
    </xf>
    <xf numFmtId="0" fontId="0" fillId="4" borderId="12" xfId="0" applyFill="1" applyBorder="1" applyAlignment="1" applyProtection="1">
      <protection locked="0"/>
    </xf>
    <xf numFmtId="0" fontId="0" fillId="4" borderId="90" xfId="0" applyFill="1" applyBorder="1" applyAlignment="1" applyProtection="1">
      <protection locked="0"/>
    </xf>
    <xf numFmtId="0" fontId="0" fillId="4" borderId="91" xfId="0" applyFill="1" applyBorder="1" applyAlignment="1" applyProtection="1">
      <protection locked="0"/>
    </xf>
    <xf numFmtId="0" fontId="1" fillId="19" borderId="68" xfId="0" applyFont="1" applyFill="1" applyBorder="1" applyAlignment="1"/>
    <xf numFmtId="0" fontId="0" fillId="4" borderId="87" xfId="0" applyFill="1" applyBorder="1" applyAlignment="1" applyProtection="1">
      <protection locked="0"/>
    </xf>
    <xf numFmtId="0" fontId="0" fillId="4" borderId="6" xfId="0" applyFill="1" applyBorder="1" applyAlignment="1" applyProtection="1">
      <protection locked="0"/>
    </xf>
    <xf numFmtId="0" fontId="0" fillId="4" borderId="92" xfId="0" applyFill="1" applyBorder="1" applyAlignment="1" applyProtection="1">
      <protection locked="0"/>
    </xf>
    <xf numFmtId="0" fontId="1" fillId="19" borderId="74" xfId="0" applyFont="1" applyFill="1" applyBorder="1" applyAlignment="1"/>
    <xf numFmtId="0" fontId="0" fillId="4" borderId="68" xfId="0" applyFill="1" applyBorder="1" applyAlignment="1" applyProtection="1">
      <protection locked="0"/>
    </xf>
  </cellXfs>
  <cellStyles count="1">
    <cellStyle name="Normaali" xfId="0" builtinId="0"/>
  </cellStyles>
  <dxfs count="163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54E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54E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 patternType="solid">
          <bgColor rgb="FFFF00B3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00B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00B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B3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54E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</dxfs>
  <tableStyles count="0" defaultTableStyle="TableStyleMedium9" defaultPivotStyle="PivotStyleLight16"/>
  <colors>
    <mruColors>
      <color rgb="FFFF54E5"/>
      <color rgb="FFFF9900"/>
      <color rgb="FFFFC46B"/>
      <color rgb="FF70FF4D"/>
      <color rgb="FFFFFFA8"/>
      <color rgb="FFFF9EF0"/>
      <color rgb="FFFF7D7D"/>
      <color rgb="FFFFFFFF"/>
      <color rgb="FFADFCA9"/>
      <color rgb="FFFF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B1BE-439D-4577-BD1D-5EBFFF2A8D62}">
  <sheetPr>
    <tabColor rgb="FF00B050"/>
  </sheetPr>
  <dimension ref="A1:AB1675"/>
  <sheetViews>
    <sheetView showGridLines="0" showRowColHeaders="0" tabSelected="1" zoomScale="85" zoomScaleNormal="85" workbookViewId="0">
      <selection activeCell="R17" sqref="R17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338" t="s">
        <v>0</v>
      </c>
      <c r="B1" s="339"/>
      <c r="C1" s="339"/>
      <c r="D1" s="340"/>
      <c r="E1" s="43"/>
      <c r="F1" s="335" t="s">
        <v>1</v>
      </c>
      <c r="G1" s="336"/>
      <c r="H1" s="336"/>
      <c r="I1" s="337"/>
      <c r="J1" s="309"/>
      <c r="K1" s="315" t="s">
        <v>2</v>
      </c>
      <c r="L1" s="316"/>
      <c r="M1" s="316"/>
      <c r="N1" s="360"/>
      <c r="O1" s="310"/>
      <c r="P1" s="347" t="s">
        <v>3</v>
      </c>
      <c r="Q1" s="348"/>
      <c r="R1" s="348"/>
      <c r="S1" s="349"/>
      <c r="T1" s="310">
        <v>47</v>
      </c>
    </row>
    <row r="2" spans="1:28">
      <c r="A2" s="11" t="s">
        <v>4</v>
      </c>
      <c r="B2" s="6">
        <f>Q13</f>
        <v>1590</v>
      </c>
      <c r="C2" s="241"/>
      <c r="D2" s="242"/>
      <c r="E2" s="203"/>
      <c r="F2" s="11" t="s">
        <v>4</v>
      </c>
      <c r="G2" s="6">
        <f>Q12</f>
        <v>6487</v>
      </c>
      <c r="H2" s="350"/>
      <c r="I2" s="351"/>
      <c r="J2" s="312"/>
      <c r="K2" s="6" t="s">
        <v>4</v>
      </c>
      <c r="L2" s="6">
        <f>Q14</f>
        <v>703</v>
      </c>
      <c r="M2" s="350"/>
      <c r="N2" s="351"/>
      <c r="O2" s="313"/>
      <c r="P2" s="6" t="s">
        <v>4</v>
      </c>
      <c r="Q2" s="6">
        <f>Q17</f>
        <v>161</v>
      </c>
      <c r="R2" s="350"/>
      <c r="S2" s="351"/>
      <c r="T2" s="313"/>
    </row>
    <row r="3" spans="1:28">
      <c r="A3" s="11" t="s">
        <v>5</v>
      </c>
      <c r="B3" s="6">
        <f>'Keräysteho kplh'!B3</f>
        <v>74</v>
      </c>
      <c r="C3" s="243"/>
      <c r="D3" s="244"/>
      <c r="E3" s="203"/>
      <c r="F3" s="11" t="s">
        <v>5</v>
      </c>
      <c r="G3" s="6">
        <f>'Keräysteho kplh'!B2</f>
        <v>178</v>
      </c>
      <c r="H3" s="352"/>
      <c r="I3" s="353"/>
      <c r="J3" s="312"/>
      <c r="K3" s="6" t="s">
        <v>5</v>
      </c>
      <c r="L3" s="6">
        <f>'Keräysteho kplh'!B4</f>
        <v>117</v>
      </c>
      <c r="M3" s="352"/>
      <c r="N3" s="353"/>
      <c r="O3" s="313"/>
      <c r="P3" s="6" t="s">
        <v>5</v>
      </c>
      <c r="Q3" s="6">
        <f>'Keräysteho kplh'!B7</f>
        <v>30</v>
      </c>
      <c r="R3" s="352"/>
      <c r="S3" s="353"/>
      <c r="T3" s="313"/>
    </row>
    <row r="4" spans="1:28">
      <c r="A4" s="11" t="s">
        <v>6</v>
      </c>
      <c r="B4" s="12" t="s">
        <v>7</v>
      </c>
      <c r="C4" s="11" t="s">
        <v>8</v>
      </c>
      <c r="D4" s="11" t="s">
        <v>9</v>
      </c>
      <c r="E4" s="203"/>
      <c r="F4" s="11" t="s">
        <v>6</v>
      </c>
      <c r="G4" s="12" t="s">
        <v>7</v>
      </c>
      <c r="H4" s="11" t="s">
        <v>8</v>
      </c>
      <c r="I4" s="11" t="s">
        <v>9</v>
      </c>
      <c r="J4" s="312"/>
      <c r="K4" s="11" t="s">
        <v>6</v>
      </c>
      <c r="L4" s="12" t="s">
        <v>7</v>
      </c>
      <c r="M4" s="11" t="s">
        <v>8</v>
      </c>
      <c r="N4" s="11" t="s">
        <v>9</v>
      </c>
      <c r="O4" s="313"/>
      <c r="P4" s="47" t="s">
        <v>6</v>
      </c>
      <c r="Q4" s="80"/>
      <c r="R4" s="47" t="s">
        <v>8</v>
      </c>
      <c r="S4" s="47" t="s">
        <v>9</v>
      </c>
      <c r="T4" s="313"/>
    </row>
    <row r="5" spans="1:28">
      <c r="A5" s="66">
        <f ca="1">TODAY()+TIME(11,0,0)</f>
        <v>46322.458333333336</v>
      </c>
      <c r="B5" s="65"/>
      <c r="C5" s="73">
        <f ca="1">A5-D13</f>
        <v>4.3700231486582197E-2</v>
      </c>
      <c r="D5" s="9">
        <f ca="1">B5*C5</f>
        <v>0</v>
      </c>
      <c r="E5" s="203"/>
      <c r="F5" s="66">
        <f ca="1">TODAY()+TIME(11,0,0)</f>
        <v>46322.458333333336</v>
      </c>
      <c r="G5" s="65">
        <v>0</v>
      </c>
      <c r="H5" s="73">
        <f ca="1">F5-I13</f>
        <v>4.3700231486582197E-2</v>
      </c>
      <c r="I5" s="9">
        <f ca="1">G5*H5</f>
        <v>0</v>
      </c>
      <c r="J5" s="312"/>
      <c r="K5" s="66">
        <f ca="1">TODAY()+TIME(11,0,0)</f>
        <v>46322.458333333336</v>
      </c>
      <c r="L5" s="65">
        <v>1</v>
      </c>
      <c r="M5" s="73">
        <f ca="1">K5-N13</f>
        <v>4.3700231486582197E-2</v>
      </c>
      <c r="N5" s="9">
        <f ca="1">L5*M5</f>
        <v>4.3700231486582197E-2</v>
      </c>
      <c r="O5" s="313"/>
      <c r="P5" s="134">
        <f ca="1">S17</f>
        <v>46322.526438657405</v>
      </c>
      <c r="Q5" s="65">
        <v>2</v>
      </c>
      <c r="R5" s="135">
        <f ca="1">P5-L25</f>
        <v>0.11180555555620231</v>
      </c>
      <c r="S5" s="126">
        <f ca="1">R5*Q5</f>
        <v>0.22361111111240461</v>
      </c>
      <c r="T5" s="313"/>
    </row>
    <row r="6" spans="1:28">
      <c r="A6" s="66">
        <f ca="1">TODAY()+TIME(12,0,0)</f>
        <v>46322.5</v>
      </c>
      <c r="B6" s="65">
        <v>7</v>
      </c>
      <c r="C6" s="73">
        <f ca="1">A6-D13</f>
        <v>8.5366898150823545E-2</v>
      </c>
      <c r="D6" s="9">
        <f ca="1">B6*C6</f>
        <v>0.59756828705576481</v>
      </c>
      <c r="E6" s="203"/>
      <c r="F6" s="66">
        <f ca="1">TODAY()+TIME(12,0,0)</f>
        <v>46322.5</v>
      </c>
      <c r="G6" s="65">
        <v>6</v>
      </c>
      <c r="H6" s="73">
        <f ca="1">F6-I13</f>
        <v>8.5366898150823545E-2</v>
      </c>
      <c r="I6" s="9">
        <f ca="1">G6*H6</f>
        <v>0.51220138890494127</v>
      </c>
      <c r="J6" s="312"/>
      <c r="K6" s="66">
        <f ca="1">TODAY()+TIME(12,0,0)</f>
        <v>46322.5</v>
      </c>
      <c r="L6" s="65">
        <v>0</v>
      </c>
      <c r="M6" s="73">
        <f ca="1">K6-N13</f>
        <v>8.5366898150823545E-2</v>
      </c>
      <c r="N6" s="9">
        <f ca="1">L6*M6</f>
        <v>0</v>
      </c>
      <c r="O6" s="313"/>
      <c r="P6" s="11" t="s">
        <v>10</v>
      </c>
      <c r="Q6" s="9">
        <f ca="1">S5</f>
        <v>0.22361111111240461</v>
      </c>
      <c r="R6" s="11" t="s">
        <v>11</v>
      </c>
      <c r="S6" s="6">
        <f>Q5</f>
        <v>2</v>
      </c>
      <c r="T6" s="313"/>
    </row>
    <row r="7" spans="1:28">
      <c r="A7" s="66">
        <f ca="1">TODAY()+TIME(13,0,0)</f>
        <v>46322.541666666664</v>
      </c>
      <c r="B7" s="65">
        <v>1</v>
      </c>
      <c r="C7" s="73">
        <f ca="1">A7-D13</f>
        <v>0.12703356481506489</v>
      </c>
      <c r="D7" s="9">
        <f ca="1">B7*C7</f>
        <v>0.12703356481506489</v>
      </c>
      <c r="E7" s="203"/>
      <c r="F7" s="66">
        <f ca="1">TODAY()+TIME(13,0,0)</f>
        <v>46322.541666666664</v>
      </c>
      <c r="G7" s="65">
        <v>2</v>
      </c>
      <c r="H7" s="73">
        <f ca="1">F7-I13</f>
        <v>0.12703356481506489</v>
      </c>
      <c r="I7" s="9">
        <f ca="1">G7*H7</f>
        <v>0.25406712963012978</v>
      </c>
      <c r="J7" s="312"/>
      <c r="K7" s="66">
        <f ca="1">TODAY()+TIME(13,0,0)</f>
        <v>46322.541666666664</v>
      </c>
      <c r="L7" s="65">
        <v>2</v>
      </c>
      <c r="M7" s="73">
        <f ca="1">K7-N13</f>
        <v>0.12703356481506489</v>
      </c>
      <c r="N7" s="9">
        <f ca="1">L7*M7</f>
        <v>0.25406712963012978</v>
      </c>
      <c r="O7" s="313"/>
      <c r="P7" s="11" t="s">
        <v>12</v>
      </c>
      <c r="Q7" s="10">
        <f>Q2/(Q5)</f>
        <v>80.5</v>
      </c>
      <c r="R7" s="350"/>
      <c r="S7" s="351"/>
      <c r="T7" s="313"/>
    </row>
    <row r="8" spans="1:28">
      <c r="A8" s="66">
        <f ca="1">TODAY()+TIME(14,0,0)</f>
        <v>46322.583333333336</v>
      </c>
      <c r="B8" s="65">
        <v>2</v>
      </c>
      <c r="C8" s="73">
        <f ca="1">A8-D13</f>
        <v>0.1687002314865822</v>
      </c>
      <c r="D8" s="9">
        <f ca="1">B8*C8</f>
        <v>0.33740046297316439</v>
      </c>
      <c r="E8" s="203"/>
      <c r="F8" s="66">
        <f ca="1">TODAY()+TIME(14,0,0)</f>
        <v>46322.583333333336</v>
      </c>
      <c r="G8" s="65">
        <v>1</v>
      </c>
      <c r="H8" s="73">
        <f ca="1">F8-I13</f>
        <v>0.1687002314865822</v>
      </c>
      <c r="I8" s="9">
        <f ca="1">G8*H8</f>
        <v>0.1687002314865822</v>
      </c>
      <c r="J8" s="312"/>
      <c r="K8" s="66">
        <f ca="1">TODAY()+TIME(14,0,0)</f>
        <v>46322.583333333336</v>
      </c>
      <c r="L8" s="65">
        <v>0</v>
      </c>
      <c r="M8" s="73">
        <f ca="1">K8-N13</f>
        <v>0.1687002314865822</v>
      </c>
      <c r="N8" s="9">
        <f ca="1">L8*M8</f>
        <v>0</v>
      </c>
      <c r="O8" s="313"/>
      <c r="P8" s="11" t="s">
        <v>13</v>
      </c>
      <c r="Q8" s="9">
        <f>Q2/(Q3*(Q5))/24</f>
        <v>0.11180555555555555</v>
      </c>
      <c r="R8" s="354"/>
      <c r="S8" s="355"/>
      <c r="T8" s="313"/>
    </row>
    <row r="9" spans="1:28">
      <c r="A9" s="66">
        <f ca="1">TODAY()+TIME(15,0,0)</f>
        <v>46322.625</v>
      </c>
      <c r="B9" s="65"/>
      <c r="C9" s="73">
        <f ca="1">A9-D13</f>
        <v>0.21036689815082354</v>
      </c>
      <c r="D9" s="9">
        <f ca="1">B9*C9</f>
        <v>0</v>
      </c>
      <c r="E9" s="203"/>
      <c r="F9" s="66">
        <f ca="1">TODAY()+TIME(15,0,0)</f>
        <v>46322.625</v>
      </c>
      <c r="G9" s="65"/>
      <c r="H9" s="73">
        <f ca="1">F9-I13</f>
        <v>0.21036689815082354</v>
      </c>
      <c r="I9" s="9">
        <f ca="1">G9*H9</f>
        <v>0</v>
      </c>
      <c r="J9" s="312"/>
      <c r="K9" s="66">
        <f ca="1">TODAY()+TIME(15,0,0)</f>
        <v>46322.625</v>
      </c>
      <c r="L9" s="65">
        <v>0</v>
      </c>
      <c r="M9" s="73">
        <f ca="1">K9-N13</f>
        <v>0.21036689815082354</v>
      </c>
      <c r="N9" s="9">
        <f ca="1">L9*M9</f>
        <v>0</v>
      </c>
      <c r="O9" s="313"/>
      <c r="P9" s="11" t="s">
        <v>14</v>
      </c>
      <c r="Q9" s="8">
        <f ca="1">IFERROR(L25+Q8+IF(Q2&gt;=400,TIME(0,24,0),0),"")</f>
        <v>46322.526438657405</v>
      </c>
      <c r="R9" s="352"/>
      <c r="S9" s="353"/>
      <c r="T9" s="313"/>
    </row>
    <row r="10" spans="1:28">
      <c r="A10" s="11" t="s">
        <v>10</v>
      </c>
      <c r="B10" s="9">
        <f ca="1">D5+D6+D7+D8+D9</f>
        <v>1.0620023148439941</v>
      </c>
      <c r="C10" s="11" t="s">
        <v>11</v>
      </c>
      <c r="D10" s="6">
        <f>B9+B8+B7+B6+B5</f>
        <v>10</v>
      </c>
      <c r="E10" s="203"/>
      <c r="F10" s="11" t="s">
        <v>10</v>
      </c>
      <c r="G10" s="9">
        <f ca="1">I5+I6+I7+I8+I9</f>
        <v>0.93496875002165325</v>
      </c>
      <c r="H10" s="11" t="s">
        <v>11</v>
      </c>
      <c r="I10" s="6">
        <f>G9+G8+G7+G6+G5</f>
        <v>9</v>
      </c>
      <c r="J10" s="312"/>
      <c r="K10" s="11" t="s">
        <v>10</v>
      </c>
      <c r="L10" s="9">
        <f ca="1">N9+N8+N7+N6+N5</f>
        <v>0.29776736111671198</v>
      </c>
      <c r="M10" s="47" t="s">
        <v>11</v>
      </c>
      <c r="N10" s="232">
        <f>L9+L8+L7+L6+L5</f>
        <v>3</v>
      </c>
      <c r="O10" s="313"/>
      <c r="P10" s="318"/>
      <c r="Q10" s="318"/>
      <c r="R10" s="318"/>
      <c r="S10" s="319"/>
      <c r="T10" s="313"/>
    </row>
    <row r="11" spans="1:28">
      <c r="A11" s="11" t="s">
        <v>12</v>
      </c>
      <c r="B11" s="10">
        <f>B2/(B6+B7+B8+B9)</f>
        <v>159</v>
      </c>
      <c r="C11" s="136"/>
      <c r="D11" s="138"/>
      <c r="E11" s="203"/>
      <c r="F11" s="11" t="s">
        <v>12</v>
      </c>
      <c r="G11" s="10">
        <f>G2/(G6+G7+G8+G9)</f>
        <v>720.77777777777783</v>
      </c>
      <c r="H11" s="136"/>
      <c r="I11" s="138"/>
      <c r="J11" s="312"/>
      <c r="K11" s="11" t="s">
        <v>12</v>
      </c>
      <c r="L11" s="230">
        <f>L2/(L6+L7+L8+L9)</f>
        <v>351.5</v>
      </c>
      <c r="M11" s="235"/>
      <c r="N11" s="236"/>
      <c r="O11" s="313"/>
      <c r="P11" s="121" t="s">
        <v>15</v>
      </c>
      <c r="Q11" s="122"/>
      <c r="R11" s="327" t="s">
        <v>16</v>
      </c>
      <c r="S11" s="328"/>
      <c r="T11" s="313"/>
    </row>
    <row r="12" spans="1:28">
      <c r="A12" s="11" t="s">
        <v>13</v>
      </c>
      <c r="B12" s="9">
        <f>B2/(B3*(B6+B7+B8+B9+B5))/24</f>
        <v>8.9527027027027029E-2</v>
      </c>
      <c r="C12" s="137"/>
      <c r="D12" s="139"/>
      <c r="E12" s="203"/>
      <c r="F12" s="11" t="s">
        <v>13</v>
      </c>
      <c r="G12" s="9">
        <f>G2/(G3*(G6+G7+G8+G9+G5))/24</f>
        <v>0.16872138992925509</v>
      </c>
      <c r="H12" s="137"/>
      <c r="I12" s="139"/>
      <c r="J12" s="312"/>
      <c r="K12" s="11" t="s">
        <v>13</v>
      </c>
      <c r="L12" s="231">
        <f>L2/(L3*(L6+L7+L8+L9+L5))/24</f>
        <v>8.3452041785375117E-2</v>
      </c>
      <c r="M12" s="237"/>
      <c r="N12" s="238"/>
      <c r="O12" s="313"/>
      <c r="P12" s="67" t="s">
        <v>1</v>
      </c>
      <c r="Q12" s="65">
        <v>6487</v>
      </c>
      <c r="R12" s="58" t="s">
        <v>1</v>
      </c>
      <c r="S12" s="20">
        <f ca="1">G13</f>
        <v>46322.600021158447</v>
      </c>
      <c r="T12" s="313"/>
      <c r="U12" s="186"/>
    </row>
    <row r="13" spans="1:28">
      <c r="A13" s="11" t="s">
        <v>14</v>
      </c>
      <c r="B13" s="8">
        <f ca="1">IFERROR(D13+B12+IF(B2&gt;=1500,TIME(0,24,0),0),"")</f>
        <v>46322.520826795546</v>
      </c>
      <c r="C13" s="11" t="s">
        <v>17</v>
      </c>
      <c r="D13" s="8">
        <f ca="1">NOW()</f>
        <v>46322.414633101849</v>
      </c>
      <c r="E13" s="203"/>
      <c r="F13" s="11" t="s">
        <v>14</v>
      </c>
      <c r="G13" s="8">
        <f ca="1">IFERROR(I13+G12+IF(G2&gt;=3000,TIME(0,24,0),0),"")</f>
        <v>46322.600021158447</v>
      </c>
      <c r="H13" s="11" t="s">
        <v>17</v>
      </c>
      <c r="I13" s="8">
        <f ca="1">NOW()</f>
        <v>46322.414633101849</v>
      </c>
      <c r="J13" s="312"/>
      <c r="K13" s="11" t="s">
        <v>14</v>
      </c>
      <c r="L13" s="8">
        <f ca="1">IFERROR(N13+L12+IF(L2&gt;=400,TIME(0,24,0),0),"")</f>
        <v>46322.514751810304</v>
      </c>
      <c r="M13" s="233" t="s">
        <v>17</v>
      </c>
      <c r="N13" s="234">
        <f ca="1">NOW()</f>
        <v>46322.414633101849</v>
      </c>
      <c r="O13" s="313"/>
      <c r="P13" s="68" t="s">
        <v>0</v>
      </c>
      <c r="Q13" s="65">
        <v>1590</v>
      </c>
      <c r="R13" s="59" t="s">
        <v>0</v>
      </c>
      <c r="S13" s="20">
        <f ca="1">B13</f>
        <v>46322.520826795546</v>
      </c>
      <c r="T13" s="313"/>
    </row>
    <row r="14" spans="1:28">
      <c r="A14" s="329"/>
      <c r="B14" s="330"/>
      <c r="C14" s="330"/>
      <c r="D14" s="331"/>
      <c r="E14" s="203"/>
      <c r="F14" s="317"/>
      <c r="G14" s="318"/>
      <c r="H14" s="318"/>
      <c r="I14" s="319"/>
      <c r="J14" s="312"/>
      <c r="K14" s="317"/>
      <c r="L14" s="318"/>
      <c r="M14" s="318"/>
      <c r="N14" s="318"/>
      <c r="O14" s="313"/>
      <c r="P14" s="69" t="s">
        <v>2</v>
      </c>
      <c r="Q14" s="65">
        <v>703</v>
      </c>
      <c r="R14" s="60" t="s">
        <v>2</v>
      </c>
      <c r="S14" s="20">
        <f ca="1">L13</f>
        <v>46322.514751810304</v>
      </c>
      <c r="T14" s="313"/>
    </row>
    <row r="15" spans="1:28">
      <c r="A15" s="320" t="s">
        <v>18</v>
      </c>
      <c r="B15" s="321"/>
      <c r="C15" s="321"/>
      <c r="D15" s="322"/>
      <c r="F15" s="323" t="s">
        <v>19</v>
      </c>
      <c r="G15" s="324"/>
      <c r="H15" s="324"/>
      <c r="I15" s="325"/>
      <c r="J15" s="312"/>
      <c r="K15" s="86" t="s">
        <v>20</v>
      </c>
      <c r="L15" s="87">
        <f ca="1">N29-N28-(L17/24)</f>
        <v>-0.1715476735315371</v>
      </c>
      <c r="M15" s="86" t="s">
        <v>21</v>
      </c>
      <c r="N15" s="88">
        <f ca="1">N16+(L16*L17)</f>
        <v>15637.608305876842</v>
      </c>
      <c r="O15" s="313"/>
      <c r="P15" s="70" t="s">
        <v>18</v>
      </c>
      <c r="Q15" s="65">
        <v>3471</v>
      </c>
      <c r="R15" s="61" t="s">
        <v>18</v>
      </c>
      <c r="S15" s="20">
        <f ca="1">B27</f>
        <v>46322.524697789828</v>
      </c>
      <c r="T15" s="313"/>
      <c r="AB15">
        <f ca="1">IFERROR(((N17-N16)/L16)/24,0)+IF(AA26&lt;0,-AA26,0)</f>
        <v>0.35775487864619249</v>
      </c>
    </row>
    <row r="16" spans="1:28">
      <c r="A16" s="11" t="s">
        <v>4</v>
      </c>
      <c r="B16" s="6">
        <f>Q15</f>
        <v>3471</v>
      </c>
      <c r="C16" s="136"/>
      <c r="D16" s="138"/>
      <c r="F16" s="11" t="s">
        <v>4</v>
      </c>
      <c r="G16" s="6">
        <f>Q16</f>
        <v>2543</v>
      </c>
      <c r="H16" s="136"/>
      <c r="I16" s="138"/>
      <c r="J16" s="312"/>
      <c r="K16" s="12" t="s">
        <v>22</v>
      </c>
      <c r="L16" s="90">
        <f ca="1">(G3*G10+B3*B10+L3*L10+B17*B24+G17*G24)/
(G10+B10+L10+B24+G24)</f>
        <v>204.90132774513941</v>
      </c>
      <c r="M16" s="86" t="s">
        <v>23</v>
      </c>
      <c r="N16" s="89">
        <f ca="1">L16*N28*24</f>
        <v>15637.608305876842</v>
      </c>
      <c r="O16" s="313"/>
      <c r="P16" s="71" t="s">
        <v>19</v>
      </c>
      <c r="Q16" s="65">
        <v>2543</v>
      </c>
      <c r="R16" s="71" t="s">
        <v>19</v>
      </c>
      <c r="S16" s="20">
        <f ca="1">G27</f>
        <v>46322.547081018514</v>
      </c>
      <c r="T16" s="313"/>
    </row>
    <row r="17" spans="1:27">
      <c r="A17" s="11" t="s">
        <v>5</v>
      </c>
      <c r="B17" s="6">
        <f>'Keräysteho kplh'!B5</f>
        <v>438</v>
      </c>
      <c r="C17" s="137"/>
      <c r="D17" s="139"/>
      <c r="F17" s="11" t="s">
        <v>5</v>
      </c>
      <c r="G17" s="6">
        <f>'Keräysteho kplh'!B6</f>
        <v>400</v>
      </c>
      <c r="H17" s="137"/>
      <c r="I17" s="139"/>
      <c r="J17" s="312"/>
      <c r="K17" s="175" t="s">
        <v>24</v>
      </c>
      <c r="L17" s="222">
        <v>0</v>
      </c>
      <c r="M17" s="12" t="s">
        <v>25</v>
      </c>
      <c r="N17" s="13">
        <f>G2+B2+L2+B16+G16</f>
        <v>14794</v>
      </c>
      <c r="O17" s="313"/>
      <c r="P17" s="72" t="s">
        <v>3</v>
      </c>
      <c r="Q17" s="65">
        <v>161</v>
      </c>
      <c r="R17" s="63" t="s">
        <v>3</v>
      </c>
      <c r="S17" s="8">
        <f ca="1">Q9</f>
        <v>46322.526438657405</v>
      </c>
      <c r="T17" s="313"/>
    </row>
    <row r="18" spans="1:27">
      <c r="A18" s="11" t="s">
        <v>6</v>
      </c>
      <c r="B18" s="12" t="s">
        <v>7</v>
      </c>
      <c r="C18" s="11" t="s">
        <v>8</v>
      </c>
      <c r="D18" s="11" t="s">
        <v>9</v>
      </c>
      <c r="F18" s="11" t="s">
        <v>6</v>
      </c>
      <c r="G18" s="12" t="s">
        <v>7</v>
      </c>
      <c r="H18" s="11" t="s">
        <v>8</v>
      </c>
      <c r="I18" s="11" t="s">
        <v>9</v>
      </c>
      <c r="J18" s="312"/>
      <c r="K18" s="209" t="s">
        <v>26</v>
      </c>
      <c r="L18" s="210">
        <f>L26*24/1440</f>
        <v>0.45</v>
      </c>
      <c r="M18" s="211" t="s">
        <v>27</v>
      </c>
      <c r="N18" s="211">
        <f>G2+B2+L2+Q2+B16+G16</f>
        <v>14955</v>
      </c>
      <c r="O18" s="313"/>
      <c r="P18" s="46" t="s">
        <v>28</v>
      </c>
      <c r="Q18" s="82">
        <f>Q12+Q13+Q14+Q15+Q16+Q17</f>
        <v>14955</v>
      </c>
      <c r="R18" s="33" t="s">
        <v>28</v>
      </c>
      <c r="S18" s="8">
        <f ca="1">L28</f>
        <v>46322.600021158447</v>
      </c>
      <c r="T18" s="313"/>
      <c r="U18" s="115"/>
      <c r="V18" s="116"/>
    </row>
    <row r="19" spans="1:27">
      <c r="A19" s="66">
        <f ca="1">TODAY()+TIME(11,0,0)</f>
        <v>46322.458333333336</v>
      </c>
      <c r="B19" s="65">
        <v>0</v>
      </c>
      <c r="C19" s="73">
        <f ca="1">A19-D27</f>
        <v>4.3700231486582197E-2</v>
      </c>
      <c r="D19" s="9">
        <f ca="1">B19*C19</f>
        <v>0</v>
      </c>
      <c r="F19" s="66">
        <f ca="1">TODAY()+TIME(11,0,0)</f>
        <v>46322.458333333336</v>
      </c>
      <c r="G19" s="65">
        <v>0</v>
      </c>
      <c r="H19" s="73">
        <f ca="1">F19-I27</f>
        <v>4.3700231486582197E-2</v>
      </c>
      <c r="I19" s="9">
        <f ca="1">G19*H19</f>
        <v>0</v>
      </c>
      <c r="J19" s="312"/>
      <c r="K19" s="206" t="s">
        <v>6</v>
      </c>
      <c r="L19" s="206" t="s">
        <v>29</v>
      </c>
      <c r="M19" s="207" t="s">
        <v>30</v>
      </c>
      <c r="N19" s="208">
        <f ca="1">(G3*G10+B3*B10+L3*L10+Q3*Q6+B17*B24+G17*G24)/
(G10+B10+L10+Q6+B24+G24)</f>
        <v>193.41030945971696</v>
      </c>
      <c r="O19" s="313"/>
      <c r="P19" s="332"/>
      <c r="Q19" s="332"/>
      <c r="R19" s="332"/>
      <c r="S19" s="333"/>
      <c r="T19" s="313"/>
      <c r="U19" s="115"/>
      <c r="V19" s="117"/>
      <c r="X19" s="114"/>
    </row>
    <row r="20" spans="1:27">
      <c r="A20" s="66">
        <f ca="1">TODAY()+TIME(12,0,0)</f>
        <v>46322.5</v>
      </c>
      <c r="B20" s="65">
        <v>0</v>
      </c>
      <c r="C20" s="73">
        <f ca="1">A20-D27</f>
        <v>8.5366898150823545E-2</v>
      </c>
      <c r="D20" s="9">
        <f ca="1">B20*C20</f>
        <v>0</v>
      </c>
      <c r="F20" s="66">
        <f ca="1">TODAY()+TIME(12,0,0)</f>
        <v>46322.5</v>
      </c>
      <c r="G20" s="65">
        <v>0</v>
      </c>
      <c r="H20" s="73">
        <f ca="1">F20-I27</f>
        <v>8.5366898150823545E-2</v>
      </c>
      <c r="I20" s="9">
        <f ca="1">G20*H20</f>
        <v>0</v>
      </c>
      <c r="J20" s="312"/>
      <c r="K20" s="212">
        <f ca="1">TODAY()+TIME(11,0,0)</f>
        <v>46322.458333333336</v>
      </c>
      <c r="L20" s="287">
        <f>G19+B19+G5+B5+L5</f>
        <v>1</v>
      </c>
      <c r="M20" s="214">
        <f ca="1">K20-L25</f>
        <v>4.3700231486582197E-2</v>
      </c>
      <c r="N20" s="215">
        <f ca="1">L20*M20</f>
        <v>4.3700231486582197E-2</v>
      </c>
      <c r="O20" s="313"/>
      <c r="P20" s="356" t="s">
        <v>31</v>
      </c>
      <c r="Q20" s="357"/>
      <c r="R20" s="356" t="s">
        <v>32</v>
      </c>
      <c r="S20" s="357"/>
      <c r="T20" s="313"/>
      <c r="U20" s="115"/>
      <c r="V20" s="117"/>
      <c r="X20" s="114"/>
    </row>
    <row r="21" spans="1:27">
      <c r="A21" s="66">
        <f ca="1">TODAY()+TIME(13,0,0)</f>
        <v>46322.541666666664</v>
      </c>
      <c r="B21" s="65">
        <v>1</v>
      </c>
      <c r="C21" s="73">
        <f ca="1">A21-D27</f>
        <v>0.12703356481506489</v>
      </c>
      <c r="D21" s="9">
        <f ca="1">B21*C21</f>
        <v>0.12703356481506489</v>
      </c>
      <c r="F21" s="66">
        <f ca="1">TODAY()+TIME(13,0,0)</f>
        <v>46322.541666666664</v>
      </c>
      <c r="G21" s="65">
        <v>0</v>
      </c>
      <c r="H21" s="73">
        <f ca="1">F21-I27</f>
        <v>0.12703356481506489</v>
      </c>
      <c r="I21" s="9">
        <f ca="1">G21*H21</f>
        <v>0</v>
      </c>
      <c r="J21" s="312"/>
      <c r="K21" s="14">
        <f ca="1">TODAY()+TIME(12,0,0)</f>
        <v>46322.5</v>
      </c>
      <c r="L21" s="288">
        <f>G20+B20+G6+B6+L6</f>
        <v>13</v>
      </c>
      <c r="M21" s="15">
        <f ca="1">K21-L25</f>
        <v>8.5366898150823545E-2</v>
      </c>
      <c r="N21" s="54">
        <f ca="1">L21*M21</f>
        <v>1.1097696759607061</v>
      </c>
      <c r="O21" s="313"/>
      <c r="P21" s="191" t="s">
        <v>33</v>
      </c>
      <c r="Q21" s="65"/>
      <c r="R21" s="192" t="s">
        <v>34</v>
      </c>
      <c r="S21" s="187">
        <f>Q21/25</f>
        <v>0</v>
      </c>
      <c r="T21" s="313"/>
      <c r="U21" s="115"/>
      <c r="V21" s="117"/>
      <c r="X21" s="114"/>
    </row>
    <row r="22" spans="1:27">
      <c r="A22" s="66">
        <f ca="1">TODAY()+TIME(14,0,0)</f>
        <v>46322.583333333336</v>
      </c>
      <c r="B22" s="65">
        <v>2</v>
      </c>
      <c r="C22" s="73">
        <f ca="1">A22-D27</f>
        <v>0.1687002314865822</v>
      </c>
      <c r="D22" s="9">
        <f ca="1">B22*C22</f>
        <v>0.33740046297316439</v>
      </c>
      <c r="F22" s="66">
        <f ca="1">TODAY()+TIME(14,0,0)</f>
        <v>46322.583333333336</v>
      </c>
      <c r="G22" s="65">
        <v>0</v>
      </c>
      <c r="H22" s="73">
        <f ca="1">F22-I27</f>
        <v>0.1687002314865822</v>
      </c>
      <c r="I22" s="9">
        <f ca="1">G22*H22</f>
        <v>0</v>
      </c>
      <c r="J22" s="312"/>
      <c r="K22" s="14">
        <f ca="1">TODAY()+TIME(13,0,0)</f>
        <v>46322.541666666664</v>
      </c>
      <c r="L22" s="288">
        <f>G21+B21+G7+B7+L7</f>
        <v>6</v>
      </c>
      <c r="M22" s="15">
        <f ca="1">K22-L25</f>
        <v>0.12703356481506489</v>
      </c>
      <c r="N22" s="54">
        <f ca="1">L22*M22</f>
        <v>0.76220138889038935</v>
      </c>
      <c r="O22" s="313"/>
      <c r="P22" s="181" t="s">
        <v>1</v>
      </c>
      <c r="Q22" s="65"/>
      <c r="R22" s="193" t="s">
        <v>34</v>
      </c>
      <c r="S22" s="194">
        <f>B32</f>
        <v>0</v>
      </c>
      <c r="T22" s="313"/>
      <c r="U22" s="115"/>
      <c r="V22" s="117"/>
    </row>
    <row r="23" spans="1:27">
      <c r="A23" s="66">
        <f ca="1">TODAY()+TIME(15,0,0)</f>
        <v>46322.625</v>
      </c>
      <c r="B23" s="65">
        <v>0</v>
      </c>
      <c r="C23" s="73">
        <f ca="1">A23-D27</f>
        <v>0.21036689815082354</v>
      </c>
      <c r="D23" s="9">
        <f ca="1">B23*C23</f>
        <v>0</v>
      </c>
      <c r="F23" s="66">
        <f ca="1">TODAY()+TIME(15,0,0)</f>
        <v>46322.625</v>
      </c>
      <c r="G23" s="65">
        <v>2</v>
      </c>
      <c r="H23" s="92">
        <f ca="1">F23-I27</f>
        <v>0.21036689815082354</v>
      </c>
      <c r="I23" s="9">
        <f ca="1">G23*H23</f>
        <v>0.42073379630164709</v>
      </c>
      <c r="J23" s="312"/>
      <c r="K23" s="50">
        <f ca="1">TODAY()+TIME(14,0,0)</f>
        <v>46322.583333333336</v>
      </c>
      <c r="L23" s="289">
        <f>G22+B22+G8+B8+L8</f>
        <v>5</v>
      </c>
      <c r="M23" s="127">
        <f ca="1">K23-L25</f>
        <v>0.1687002314865822</v>
      </c>
      <c r="N23" s="128">
        <f ca="1">L23*M23</f>
        <v>0.84350115743291099</v>
      </c>
      <c r="O23" s="313"/>
      <c r="P23" s="182" t="s">
        <v>0</v>
      </c>
      <c r="Q23" s="65"/>
      <c r="R23" s="195" t="s">
        <v>34</v>
      </c>
      <c r="S23" s="194">
        <f>G32</f>
        <v>0</v>
      </c>
      <c r="T23" s="313"/>
      <c r="U23" s="115"/>
      <c r="V23" s="117"/>
      <c r="X23" s="114"/>
    </row>
    <row r="24" spans="1:27">
      <c r="A24" s="11" t="s">
        <v>10</v>
      </c>
      <c r="B24" s="9">
        <f ca="1">D23+D22+D21+D20+D19</f>
        <v>0.46443402778822929</v>
      </c>
      <c r="C24" s="11" t="s">
        <v>11</v>
      </c>
      <c r="D24" s="6">
        <f>B23+B22+B21+B20+B19</f>
        <v>3</v>
      </c>
      <c r="F24" s="11" t="s">
        <v>10</v>
      </c>
      <c r="G24" s="9">
        <f ca="1">I23+I22+I21+I20+I19</f>
        <v>0.42073379630164709</v>
      </c>
      <c r="H24" s="11" t="s">
        <v>11</v>
      </c>
      <c r="I24" s="6">
        <f>G23+G22+G21+G20+G19</f>
        <v>2</v>
      </c>
      <c r="J24" s="312"/>
      <c r="K24" s="216">
        <f ca="1">TODAY()+TIME(15,0,0)</f>
        <v>46322.625</v>
      </c>
      <c r="L24" s="290">
        <f>G23+B23+G9+B9+L9</f>
        <v>2</v>
      </c>
      <c r="M24" s="218">
        <f ca="1">K24-L25</f>
        <v>0.21036689815082354</v>
      </c>
      <c r="N24" s="219">
        <f ca="1">L24*M24</f>
        <v>0.42073379630164709</v>
      </c>
      <c r="O24" s="313"/>
      <c r="P24" s="183" t="s">
        <v>2</v>
      </c>
      <c r="Q24" s="65"/>
      <c r="R24" s="196" t="s">
        <v>35</v>
      </c>
      <c r="S24" s="194" t="s">
        <v>36</v>
      </c>
      <c r="T24" s="313"/>
      <c r="U24" s="115"/>
      <c r="V24" s="118"/>
      <c r="X24" s="114"/>
    </row>
    <row r="25" spans="1:27">
      <c r="A25" s="11" t="s">
        <v>12</v>
      </c>
      <c r="B25" s="10">
        <f>B16/(B20+B21+B22+B23)</f>
        <v>1157</v>
      </c>
      <c r="C25" s="136"/>
      <c r="D25" s="138"/>
      <c r="F25" s="11" t="s">
        <v>12</v>
      </c>
      <c r="G25" s="10">
        <f>G16/(G20+G21+G22+G23)</f>
        <v>1271.5</v>
      </c>
      <c r="H25" s="136"/>
      <c r="I25" s="138"/>
      <c r="J25" s="312"/>
      <c r="K25" s="176" t="s">
        <v>17</v>
      </c>
      <c r="L25" s="212">
        <f ca="1">NOW()</f>
        <v>46322.414633101849</v>
      </c>
      <c r="M25" s="220" t="s">
        <v>37</v>
      </c>
      <c r="N25" s="221" t="str">
        <f ca="1">IF(AA25&lt;0,"-","")&amp;INT(ROUND(ABS(AA25)*1440,0)/60)&amp;":"&amp;TEXT(MOD(ROUND(ABS(AA25)*1440,0),60),"00")</f>
        <v>-1:54</v>
      </c>
      <c r="O25" s="313"/>
      <c r="P25" s="185" t="s">
        <v>18</v>
      </c>
      <c r="Q25" s="65"/>
      <c r="R25" s="197" t="s">
        <v>38</v>
      </c>
      <c r="S25" s="194">
        <f>B38</f>
        <v>0</v>
      </c>
      <c r="T25" s="313"/>
      <c r="U25" s="119"/>
      <c r="V25" s="118"/>
      <c r="AA25">
        <f ca="1">N28-IFERROR((G2/G3+B2/B3+L2/L3+B16/B17+G16/G17)/24,0)+L17/24</f>
        <v>-7.9302552177729968E-2</v>
      </c>
    </row>
    <row r="26" spans="1:27">
      <c r="A26" s="11" t="s">
        <v>13</v>
      </c>
      <c r="B26" s="9">
        <f>B16/(B17*(B20+B21+B22+B23+B19))/24</f>
        <v>0.11006468797564688</v>
      </c>
      <c r="C26" s="137"/>
      <c r="D26" s="139"/>
      <c r="F26" s="11" t="s">
        <v>13</v>
      </c>
      <c r="G26" s="9">
        <f>G16/(G17*(G20+G21+G22+G23+G19))/24</f>
        <v>0.13244791666666667</v>
      </c>
      <c r="H26" s="137"/>
      <c r="I26" s="139"/>
      <c r="J26" s="312"/>
      <c r="K26" s="12" t="s">
        <v>11</v>
      </c>
      <c r="L26" s="205">
        <f>L24+L23+L22+L21+L20</f>
        <v>27</v>
      </c>
      <c r="M26" s="204" t="s">
        <v>39</v>
      </c>
      <c r="N26" s="228" t="str">
        <f ca="1">IF(AA26&lt;0,"-","")&amp;INT(ROUND(ABS(AA26)*1440,0)/60)&amp;":"&amp;TEXT(MOD(ROUND(ABS(AA26)*1440,0),60),"00")</f>
        <v>-12:42</v>
      </c>
      <c r="O26" s="313"/>
      <c r="P26" s="184" t="s">
        <v>19</v>
      </c>
      <c r="Q26" s="65"/>
      <c r="R26" s="198" t="s">
        <v>38</v>
      </c>
      <c r="S26" s="194">
        <f>G38</f>
        <v>0</v>
      </c>
      <c r="T26" s="313"/>
      <c r="AA26">
        <f ca="1">AA25-L18</f>
        <v>-0.52930255217772992</v>
      </c>
    </row>
    <row r="27" spans="1:27">
      <c r="A27" s="47" t="s">
        <v>14</v>
      </c>
      <c r="B27" s="48">
        <f ca="1">IFERROR(D27+B26+IF(B16&gt;=5000,TIME(0,24,0),0),"")</f>
        <v>46322.524697789828</v>
      </c>
      <c r="C27" s="11" t="s">
        <v>17</v>
      </c>
      <c r="D27" s="8">
        <f ca="1">NOW()</f>
        <v>46322.414633101849</v>
      </c>
      <c r="F27" s="47" t="s">
        <v>14</v>
      </c>
      <c r="G27" s="48">
        <f ca="1">IFERROR(I27+G26+IF(G16&gt;=5000,TIME(0,24,0),0),"")</f>
        <v>46322.547081018514</v>
      </c>
      <c r="H27" s="11" t="s">
        <v>17</v>
      </c>
      <c r="I27" s="8">
        <f ca="1">NOW()</f>
        <v>46322.414633101849</v>
      </c>
      <c r="J27" s="312"/>
      <c r="K27" s="12" t="s">
        <v>12</v>
      </c>
      <c r="L27" s="16">
        <f>N17/(L21+L22+L23+L24)</f>
        <v>569</v>
      </c>
      <c r="M27" s="204" t="s">
        <v>40</v>
      </c>
      <c r="N27" s="227">
        <f ca="1">ABS(AA26+AA25)/2</f>
        <v>0.30430255217772995</v>
      </c>
      <c r="O27" s="313"/>
      <c r="P27" s="180" t="s">
        <v>3</v>
      </c>
      <c r="Q27" s="65"/>
      <c r="R27" s="199" t="s">
        <v>34</v>
      </c>
      <c r="S27" s="194">
        <f>L39</f>
        <v>0</v>
      </c>
      <c r="T27" s="313"/>
    </row>
    <row r="28" spans="1:27">
      <c r="A28" s="326"/>
      <c r="B28" s="326"/>
      <c r="C28" s="326"/>
      <c r="D28" s="326"/>
      <c r="F28" s="326"/>
      <c r="G28" s="326"/>
      <c r="H28" s="326"/>
      <c r="I28" s="334"/>
      <c r="J28" s="312"/>
      <c r="K28" s="49" t="s">
        <v>14</v>
      </c>
      <c r="L28" s="50">
        <f ca="1">MAX(IFERROR(B27*1,0),IFERROR(G27*1,0),IFERROR(L13*1,0),IFERROR(B13*1,0),IFERROR(G13*1,0),IFERROR(Q9*1,0))</f>
        <v>46322.600021158447</v>
      </c>
      <c r="M28" s="12" t="s">
        <v>10</v>
      </c>
      <c r="N28" s="15">
        <f ca="1">N21+N22+N23+N24+N20</f>
        <v>3.1799062500722357</v>
      </c>
      <c r="O28" s="313"/>
      <c r="P28" s="190" t="s">
        <v>28</v>
      </c>
      <c r="Q28" s="189">
        <f>B31+D31+L34+L38+D37+B37</f>
        <v>0</v>
      </c>
      <c r="R28" s="190" t="s">
        <v>28</v>
      </c>
      <c r="S28" s="187">
        <f>S27+S26+S25+S23+S22+S21</f>
        <v>0</v>
      </c>
      <c r="T28" s="313"/>
    </row>
    <row r="29" spans="1:27">
      <c r="A29" s="335" t="s">
        <v>1</v>
      </c>
      <c r="B29" s="336"/>
      <c r="C29" s="336"/>
      <c r="D29" s="337"/>
      <c r="F29" s="338" t="s">
        <v>0</v>
      </c>
      <c r="G29" s="339"/>
      <c r="H29" s="339"/>
      <c r="I29" s="340"/>
      <c r="J29" s="312"/>
      <c r="K29" s="49" t="s">
        <v>41</v>
      </c>
      <c r="L29" s="50">
        <f ca="1">L28+(L18/24)</f>
        <v>46322.61877115845</v>
      </c>
      <c r="M29" s="12" t="s">
        <v>42</v>
      </c>
      <c r="N29" s="229">
        <f ca="1">N17/L16/24</f>
        <v>3.0083585765406986</v>
      </c>
      <c r="O29" s="313"/>
      <c r="P29" s="173" t="s">
        <v>43</v>
      </c>
      <c r="Q29" s="194">
        <f>Q28/L26</f>
        <v>0</v>
      </c>
      <c r="R29" s="173" t="s">
        <v>43</v>
      </c>
      <c r="S29" s="187">
        <f>S28/L26</f>
        <v>0</v>
      </c>
      <c r="T29" s="313"/>
    </row>
    <row r="30" spans="1:27">
      <c r="A30" s="17" t="s">
        <v>44</v>
      </c>
      <c r="B30" s="6">
        <f>G2</f>
        <v>6487</v>
      </c>
      <c r="C30" s="11" t="s">
        <v>11</v>
      </c>
      <c r="D30" s="6">
        <f>I10</f>
        <v>9</v>
      </c>
      <c r="F30" s="17" t="s">
        <v>44</v>
      </c>
      <c r="G30" s="6">
        <f>B2</f>
        <v>1590</v>
      </c>
      <c r="H30" s="11" t="s">
        <v>11</v>
      </c>
      <c r="I30" s="6">
        <f>D10</f>
        <v>10</v>
      </c>
      <c r="J30" s="312"/>
      <c r="K30" s="226" t="s">
        <v>45</v>
      </c>
      <c r="L30" s="225">
        <f ca="1">AVERAGE(L28,L29)</f>
        <v>46322.609396158448</v>
      </c>
      <c r="M30" s="12" t="s">
        <v>46</v>
      </c>
      <c r="N30" s="9">
        <f>MAX(IFERROR(B26*1,0),IFERROR(G26*1,0),IFERROR(L12*1,0),IFERROR(B12*1,0),IFERROR(G12*1,0),IFERROR(Q8*1,0))</f>
        <v>0.16872138992925509</v>
      </c>
      <c r="O30" s="313"/>
      <c r="P30" s="341"/>
      <c r="Q30" s="342"/>
      <c r="R30" s="342"/>
      <c r="S30" s="342"/>
      <c r="T30" s="313"/>
    </row>
    <row r="31" spans="1:27">
      <c r="A31" s="17" t="s">
        <v>47</v>
      </c>
      <c r="B31" s="6">
        <f>Q22</f>
        <v>0</v>
      </c>
      <c r="C31" s="136"/>
      <c r="D31" s="138"/>
      <c r="F31" s="17" t="s">
        <v>47</v>
      </c>
      <c r="G31" s="6">
        <f>Q23</f>
        <v>0</v>
      </c>
      <c r="H31" s="136"/>
      <c r="I31" s="138"/>
      <c r="J31" s="312"/>
      <c r="K31" s="343"/>
      <c r="L31" s="343"/>
      <c r="M31" s="343"/>
      <c r="N31" s="343"/>
      <c r="O31" s="313"/>
      <c r="P31" s="178" t="s">
        <v>48</v>
      </c>
      <c r="Q31" s="179"/>
      <c r="R31" s="344" t="s">
        <v>49</v>
      </c>
      <c r="S31" s="345"/>
      <c r="T31" s="313"/>
    </row>
    <row r="32" spans="1:27">
      <c r="A32" s="17" t="s">
        <v>50</v>
      </c>
      <c r="B32" s="18">
        <f>B31/9</f>
        <v>0</v>
      </c>
      <c r="C32" s="137"/>
      <c r="D32" s="139"/>
      <c r="F32" s="17" t="s">
        <v>50</v>
      </c>
      <c r="G32" s="18">
        <f>G31/9</f>
        <v>0</v>
      </c>
      <c r="H32" s="137"/>
      <c r="I32" s="139"/>
      <c r="J32" s="312"/>
      <c r="K32" s="315" t="s">
        <v>2</v>
      </c>
      <c r="L32" s="316"/>
      <c r="M32" s="316"/>
      <c r="N32" s="316"/>
      <c r="O32" s="313"/>
      <c r="P32" s="358" t="s">
        <v>1</v>
      </c>
      <c r="Q32" s="358"/>
      <c r="R32" s="74" t="s">
        <v>34</v>
      </c>
      <c r="S32" s="170">
        <f>S22/I10</f>
        <v>0</v>
      </c>
      <c r="T32" s="313"/>
    </row>
    <row r="33" spans="1:20">
      <c r="A33" s="17" t="s">
        <v>51</v>
      </c>
      <c r="B33" s="18">
        <f>B32/I10</f>
        <v>0</v>
      </c>
      <c r="C33" s="140"/>
      <c r="D33" s="141"/>
      <c r="F33" s="17" t="s">
        <v>51</v>
      </c>
      <c r="G33" s="18">
        <f>G32/D10</f>
        <v>0</v>
      </c>
      <c r="H33" s="140"/>
      <c r="I33" s="141"/>
      <c r="J33" s="312"/>
      <c r="K33" s="17" t="s">
        <v>44</v>
      </c>
      <c r="L33" s="6">
        <f>L2</f>
        <v>703</v>
      </c>
      <c r="M33" s="11" t="s">
        <v>11</v>
      </c>
      <c r="N33" s="57">
        <f>N10</f>
        <v>3</v>
      </c>
      <c r="O33" s="313"/>
      <c r="P33" s="359" t="s">
        <v>0</v>
      </c>
      <c r="Q33" s="359"/>
      <c r="R33" s="75" t="s">
        <v>34</v>
      </c>
      <c r="S33" s="170">
        <f>S23/D10</f>
        <v>0</v>
      </c>
      <c r="T33" s="313"/>
    </row>
    <row r="34" spans="1:20">
      <c r="A34" s="317"/>
      <c r="B34" s="318"/>
      <c r="C34" s="318"/>
      <c r="D34" s="319"/>
      <c r="F34" s="317"/>
      <c r="G34" s="318"/>
      <c r="H34" s="318"/>
      <c r="I34" s="319"/>
      <c r="J34" s="312"/>
      <c r="K34" s="17" t="s">
        <v>52</v>
      </c>
      <c r="L34" s="6">
        <f>Q24</f>
        <v>0</v>
      </c>
      <c r="M34" s="17" t="s">
        <v>43</v>
      </c>
      <c r="N34" s="18">
        <f>L34/N10</f>
        <v>0</v>
      </c>
      <c r="O34" s="313"/>
      <c r="P34" s="346" t="s">
        <v>2</v>
      </c>
      <c r="Q34" s="346"/>
      <c r="R34" s="76" t="s">
        <v>53</v>
      </c>
      <c r="S34" s="170">
        <f>N34</f>
        <v>0</v>
      </c>
      <c r="T34" s="313"/>
    </row>
    <row r="35" spans="1:20">
      <c r="A35" s="320" t="s">
        <v>18</v>
      </c>
      <c r="B35" s="321"/>
      <c r="C35" s="321"/>
      <c r="D35" s="322"/>
      <c r="F35" s="323" t="s">
        <v>19</v>
      </c>
      <c r="G35" s="324"/>
      <c r="H35" s="324"/>
      <c r="I35" s="325"/>
      <c r="J35" s="312"/>
      <c r="K35" s="317"/>
      <c r="L35" s="318"/>
      <c r="M35" s="318"/>
      <c r="N35" s="318"/>
      <c r="O35" s="313"/>
      <c r="P35" s="365" t="s">
        <v>18</v>
      </c>
      <c r="Q35" s="365"/>
      <c r="R35" s="77" t="s">
        <v>38</v>
      </c>
      <c r="S35" s="170">
        <f>S25/D24</f>
        <v>0</v>
      </c>
      <c r="T35" s="313"/>
    </row>
    <row r="36" spans="1:20">
      <c r="A36" s="17" t="s">
        <v>44</v>
      </c>
      <c r="B36" s="6">
        <f>B16</f>
        <v>3471</v>
      </c>
      <c r="C36" s="11" t="s">
        <v>11</v>
      </c>
      <c r="D36" s="6">
        <f>D16</f>
        <v>0</v>
      </c>
      <c r="F36" s="17" t="s">
        <v>44</v>
      </c>
      <c r="G36" s="6">
        <f>G16</f>
        <v>2543</v>
      </c>
      <c r="H36" s="11" t="s">
        <v>11</v>
      </c>
      <c r="I36" s="6">
        <f>I16</f>
        <v>0</v>
      </c>
      <c r="J36" s="312"/>
      <c r="K36" s="347" t="s">
        <v>3</v>
      </c>
      <c r="L36" s="348"/>
      <c r="M36" s="348"/>
      <c r="N36" s="348"/>
      <c r="O36" s="313"/>
      <c r="P36" s="366" t="s">
        <v>19</v>
      </c>
      <c r="Q36" s="366"/>
      <c r="R36" s="78" t="s">
        <v>38</v>
      </c>
      <c r="S36" s="170">
        <f>S26/I24</f>
        <v>0</v>
      </c>
      <c r="T36" s="313"/>
    </row>
    <row r="37" spans="1:20">
      <c r="A37" s="17" t="s">
        <v>47</v>
      </c>
      <c r="B37" s="6">
        <f>Q25</f>
        <v>0</v>
      </c>
      <c r="C37" s="136"/>
      <c r="D37" s="138"/>
      <c r="F37" s="17" t="s">
        <v>47</v>
      </c>
      <c r="G37" s="6">
        <f>Q26</f>
        <v>0</v>
      </c>
      <c r="H37" s="157"/>
      <c r="I37" s="158"/>
      <c r="J37" s="312"/>
      <c r="K37" s="17" t="s">
        <v>44</v>
      </c>
      <c r="L37" s="6">
        <f>Q2</f>
        <v>161</v>
      </c>
      <c r="M37" s="11" t="s">
        <v>11</v>
      </c>
      <c r="N37" s="57">
        <f>S6</f>
        <v>2</v>
      </c>
      <c r="O37" s="313"/>
      <c r="P37" s="367" t="s">
        <v>3</v>
      </c>
      <c r="Q37" s="367"/>
      <c r="R37" s="177" t="s">
        <v>34</v>
      </c>
      <c r="S37" s="171">
        <f>S27/S6</f>
        <v>0</v>
      </c>
      <c r="T37" s="313"/>
    </row>
    <row r="38" spans="1:20" ht="15" customHeight="1">
      <c r="A38" s="17" t="s">
        <v>54</v>
      </c>
      <c r="B38" s="18">
        <f>B37/10</f>
        <v>0</v>
      </c>
      <c r="C38" s="137"/>
      <c r="D38" s="139"/>
      <c r="F38" s="17" t="s">
        <v>54</v>
      </c>
      <c r="G38" s="18">
        <f>G37/10</f>
        <v>0</v>
      </c>
      <c r="H38" s="159"/>
      <c r="I38" s="160"/>
      <c r="J38" s="312"/>
      <c r="K38" s="17" t="s">
        <v>47</v>
      </c>
      <c r="L38" s="6">
        <f>Q27</f>
        <v>0</v>
      </c>
      <c r="M38" s="368"/>
      <c r="N38" s="369"/>
      <c r="O38" s="313"/>
      <c r="P38" s="370">
        <f ca="1">NOW()</f>
        <v>46322.414633101849</v>
      </c>
      <c r="Q38" s="372" t="s">
        <v>55</v>
      </c>
      <c r="R38" s="361">
        <f ca="1">I27</f>
        <v>46322.414633101849</v>
      </c>
      <c r="S38" s="362"/>
      <c r="T38" s="313"/>
    </row>
    <row r="39" spans="1:20" ht="15" customHeight="1">
      <c r="A39" s="17" t="s">
        <v>56</v>
      </c>
      <c r="B39" s="18">
        <f>B38/D24</f>
        <v>0</v>
      </c>
      <c r="C39" s="140"/>
      <c r="D39" s="141"/>
      <c r="F39" s="17" t="s">
        <v>56</v>
      </c>
      <c r="G39" s="18">
        <f>G38/I24</f>
        <v>0</v>
      </c>
      <c r="H39" s="161"/>
      <c r="I39" s="162"/>
      <c r="J39" s="312"/>
      <c r="K39" s="17" t="s">
        <v>50</v>
      </c>
      <c r="L39" s="18">
        <f>L38/16</f>
        <v>0</v>
      </c>
      <c r="M39" s="17" t="s">
        <v>51</v>
      </c>
      <c r="N39" s="18">
        <f>L39/N37</f>
        <v>0</v>
      </c>
      <c r="O39" s="313"/>
      <c r="P39" s="371"/>
      <c r="Q39" s="373"/>
      <c r="R39" s="363"/>
      <c r="S39" s="364"/>
      <c r="T39" s="326"/>
    </row>
    <row r="40" spans="1:20">
      <c r="A40" s="309"/>
      <c r="B40" s="310"/>
      <c r="C40" s="310"/>
      <c r="D40" s="311"/>
      <c r="F40" s="309"/>
      <c r="G40" s="310"/>
      <c r="H40" s="310"/>
      <c r="I40" s="311"/>
      <c r="J40" s="312"/>
      <c r="K40" s="309"/>
      <c r="L40" s="310"/>
      <c r="M40" s="310"/>
      <c r="N40" s="310"/>
      <c r="O40" s="313"/>
      <c r="P40" s="312"/>
      <c r="Q40" s="313"/>
      <c r="R40" s="313"/>
      <c r="S40" s="313"/>
      <c r="T40" s="314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49">
    <mergeCell ref="P35:Q35"/>
    <mergeCell ref="P36:Q36"/>
    <mergeCell ref="P37:Q37"/>
    <mergeCell ref="M38:N38"/>
    <mergeCell ref="P38:P39"/>
    <mergeCell ref="Q38:Q39"/>
    <mergeCell ref="K36:N36"/>
    <mergeCell ref="P34:Q34"/>
    <mergeCell ref="F1:I1"/>
    <mergeCell ref="A1:D1"/>
    <mergeCell ref="P1:S1"/>
    <mergeCell ref="H2:I3"/>
    <mergeCell ref="M2:N3"/>
    <mergeCell ref="R2:S3"/>
    <mergeCell ref="R7:S9"/>
    <mergeCell ref="P20:Q20"/>
    <mergeCell ref="R20:S20"/>
    <mergeCell ref="P32:Q32"/>
    <mergeCell ref="P33:Q33"/>
    <mergeCell ref="J1:J40"/>
    <mergeCell ref="K1:N1"/>
    <mergeCell ref="O1:O40"/>
    <mergeCell ref="R38:S39"/>
    <mergeCell ref="A29:D29"/>
    <mergeCell ref="F29:I29"/>
    <mergeCell ref="P30:S30"/>
    <mergeCell ref="K31:N31"/>
    <mergeCell ref="R31:S31"/>
    <mergeCell ref="A15:D15"/>
    <mergeCell ref="F15:I15"/>
    <mergeCell ref="P19:S19"/>
    <mergeCell ref="A28:D28"/>
    <mergeCell ref="F28:I28"/>
    <mergeCell ref="A40:D40"/>
    <mergeCell ref="F40:I40"/>
    <mergeCell ref="K40:N40"/>
    <mergeCell ref="P40:T40"/>
    <mergeCell ref="K32:N32"/>
    <mergeCell ref="A34:D34"/>
    <mergeCell ref="F34:I34"/>
    <mergeCell ref="A35:D35"/>
    <mergeCell ref="F35:I35"/>
    <mergeCell ref="K35:N35"/>
    <mergeCell ref="T1:T39"/>
    <mergeCell ref="P10:S10"/>
    <mergeCell ref="R11:S11"/>
    <mergeCell ref="A14:D14"/>
    <mergeCell ref="F14:I14"/>
    <mergeCell ref="K14:N14"/>
  </mergeCells>
  <conditionalFormatting sqref="S12:S17">
    <cfRule type="cellIs" dxfId="162" priority="24" operator="equal">
      <formula>$S$18</formula>
    </cfRule>
  </conditionalFormatting>
  <conditionalFormatting sqref="N17:N18">
    <cfRule type="cellIs" dxfId="161" priority="21" stopIfTrue="1" operator="greaterThan">
      <formula>$N$16</formula>
    </cfRule>
  </conditionalFormatting>
  <conditionalFormatting sqref="N15">
    <cfRule type="cellIs" dxfId="160" priority="20" operator="greaterThan">
      <formula>$N$17</formula>
    </cfRule>
  </conditionalFormatting>
  <conditionalFormatting sqref="N17">
    <cfRule type="cellIs" dxfId="159" priority="19" operator="lessThan">
      <formula>$N$16</formula>
    </cfRule>
  </conditionalFormatting>
  <conditionalFormatting sqref="N15">
    <cfRule type="cellIs" dxfId="158" priority="18" operator="equal">
      <formula>$N$17</formula>
    </cfRule>
  </conditionalFormatting>
  <conditionalFormatting sqref="N15">
    <cfRule type="cellIs" dxfId="157" priority="17" operator="lessThan">
      <formula>$N$17</formula>
    </cfRule>
  </conditionalFormatting>
  <conditionalFormatting sqref="N18">
    <cfRule type="cellIs" dxfId="156" priority="16" operator="lessThan">
      <formula>$N$16</formula>
    </cfRule>
  </conditionalFormatting>
  <conditionalFormatting sqref="N18">
    <cfRule type="cellIs" dxfId="155" priority="15" operator="equal">
      <formula>$N$17</formula>
    </cfRule>
  </conditionalFormatting>
  <conditionalFormatting sqref="N19">
    <cfRule type="containsErrors" dxfId="154" priority="14">
      <formula>ISERROR(N19)</formula>
    </cfRule>
  </conditionalFormatting>
  <conditionalFormatting sqref="L15">
    <cfRule type="containsText" dxfId="153" priority="13" operator="containsText" text="-">
      <formula>NOT(ISERROR(SEARCH("-",L15)))</formula>
    </cfRule>
  </conditionalFormatting>
  <conditionalFormatting sqref="L15">
    <cfRule type="notContainsText" dxfId="152" priority="12" operator="notContains" text="-">
      <formula>ISERROR(SEARCH("-",L15))</formula>
    </cfRule>
  </conditionalFormatting>
  <conditionalFormatting sqref="L15">
    <cfRule type="cellIs" dxfId="151" priority="11" operator="equal">
      <formula>0</formula>
    </cfRule>
  </conditionalFormatting>
  <conditionalFormatting sqref="N26">
    <cfRule type="containsText" dxfId="150" priority="9" operator="containsText" text="-">
      <formula>NOT(ISERROR(SEARCH("-",N26)))</formula>
    </cfRule>
    <cfRule type="cellIs" dxfId="149" priority="10" operator="greaterThan">
      <formula>0</formula>
    </cfRule>
  </conditionalFormatting>
  <conditionalFormatting sqref="N25">
    <cfRule type="containsText" dxfId="148" priority="7" operator="containsText" text="-">
      <formula>NOT(ISERROR(SEARCH("-",N25)))</formula>
    </cfRule>
  </conditionalFormatting>
  <conditionalFormatting sqref="N25">
    <cfRule type="cellIs" dxfId="147" priority="8" operator="greaterThan">
      <formula>0</formula>
    </cfRule>
  </conditionalFormatting>
  <conditionalFormatting sqref="L15">
    <cfRule type="containsErrors" dxfId="146" priority="6">
      <formula>ISERROR(L15)</formula>
    </cfRule>
  </conditionalFormatting>
  <conditionalFormatting sqref="N25">
    <cfRule type="containsText" dxfId="145" priority="5" operator="containsText" text="0:00">
      <formula>NOT(ISERROR(SEARCH("0:00",N25)))</formula>
    </cfRule>
  </conditionalFormatting>
  <conditionalFormatting sqref="N26">
    <cfRule type="containsText" dxfId="144" priority="4" operator="containsText" text="0:00">
      <formula>NOT(ISERROR(SEARCH("0:00",N26)))</formula>
    </cfRule>
  </conditionalFormatting>
  <conditionalFormatting sqref="N27">
    <cfRule type="cellIs" dxfId="143" priority="3" operator="greaterThan">
      <formula>0</formula>
    </cfRule>
  </conditionalFormatting>
  <conditionalFormatting sqref="N27">
    <cfRule type="cellIs" dxfId="142" priority="2" operator="equal">
      <formula>0</formula>
    </cfRule>
  </conditionalFormatting>
  <conditionalFormatting sqref="N27">
    <cfRule type="containsText" dxfId="141" priority="1" operator="containsText" text="-">
      <formula>NOT(ISERROR(SEARCH("-",N27)))</formula>
    </cfRule>
  </conditionalFormatting>
  <conditionalFormatting sqref="N29">
    <cfRule type="cellIs" dxfId="140" priority="22" operator="greaterThan">
      <formula>$N$28</formula>
    </cfRule>
  </conditionalFormatting>
  <conditionalFormatting sqref="N29">
    <cfRule type="cellIs" dxfId="139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D324-472E-4A55-8792-0049BF648611}">
  <sheetPr>
    <tabColor rgb="FFFFFF00"/>
  </sheetPr>
  <dimension ref="A1:AB1675"/>
  <sheetViews>
    <sheetView showGridLines="0" showRowColHeaders="0" zoomScale="85" zoomScaleNormal="85" workbookViewId="0">
      <selection activeCell="Q13" sqref="Q13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338" t="s">
        <v>0</v>
      </c>
      <c r="B1" s="339"/>
      <c r="C1" s="339"/>
      <c r="D1" s="340"/>
      <c r="E1" s="43"/>
      <c r="F1" s="335" t="s">
        <v>1</v>
      </c>
      <c r="G1" s="336"/>
      <c r="H1" s="336"/>
      <c r="I1" s="337"/>
      <c r="J1" s="309"/>
      <c r="K1" s="315" t="s">
        <v>2</v>
      </c>
      <c r="L1" s="316"/>
      <c r="M1" s="316"/>
      <c r="N1" s="360"/>
      <c r="O1" s="310"/>
      <c r="P1" s="347" t="s">
        <v>3</v>
      </c>
      <c r="Q1" s="348"/>
      <c r="R1" s="348"/>
      <c r="S1" s="349"/>
      <c r="T1" s="310">
        <v>47</v>
      </c>
    </row>
    <row r="2" spans="1:28">
      <c r="A2" s="11" t="s">
        <v>4</v>
      </c>
      <c r="B2" s="6">
        <f>Q13</f>
        <v>0</v>
      </c>
      <c r="C2" s="241"/>
      <c r="D2" s="242"/>
      <c r="E2" s="203"/>
      <c r="F2" s="11" t="s">
        <v>4</v>
      </c>
      <c r="G2" s="6">
        <f>Q12</f>
        <v>0</v>
      </c>
      <c r="H2" s="350"/>
      <c r="I2" s="351"/>
      <c r="J2" s="312"/>
      <c r="K2" s="6" t="s">
        <v>4</v>
      </c>
      <c r="L2" s="6">
        <f>Q14</f>
        <v>0</v>
      </c>
      <c r="M2" s="350"/>
      <c r="N2" s="351"/>
      <c r="O2" s="313"/>
      <c r="P2" s="6" t="s">
        <v>4</v>
      </c>
      <c r="Q2" s="6">
        <f>Q17</f>
        <v>0</v>
      </c>
      <c r="R2" s="350"/>
      <c r="S2" s="351"/>
      <c r="T2" s="313"/>
    </row>
    <row r="3" spans="1:28">
      <c r="A3" s="11" t="s">
        <v>5</v>
      </c>
      <c r="B3" s="6">
        <f>'Keräysteho kplh'!B3</f>
        <v>74</v>
      </c>
      <c r="C3" s="243"/>
      <c r="D3" s="244"/>
      <c r="E3" s="203"/>
      <c r="F3" s="11" t="s">
        <v>5</v>
      </c>
      <c r="G3" s="6">
        <f>'Keräysteho kplh'!B2</f>
        <v>178</v>
      </c>
      <c r="H3" s="352"/>
      <c r="I3" s="353"/>
      <c r="J3" s="312"/>
      <c r="K3" s="6" t="s">
        <v>5</v>
      </c>
      <c r="L3" s="6">
        <f>'Keräysteho kplh'!B4</f>
        <v>117</v>
      </c>
      <c r="M3" s="352"/>
      <c r="N3" s="353"/>
      <c r="O3" s="313"/>
      <c r="P3" s="6" t="s">
        <v>5</v>
      </c>
      <c r="Q3" s="6">
        <f>'Keräysteho kplh'!B7</f>
        <v>30</v>
      </c>
      <c r="R3" s="352"/>
      <c r="S3" s="353"/>
      <c r="T3" s="313"/>
    </row>
    <row r="4" spans="1:28">
      <c r="A4" s="11" t="s">
        <v>6</v>
      </c>
      <c r="B4" s="12" t="s">
        <v>7</v>
      </c>
      <c r="C4" s="11" t="s">
        <v>8</v>
      </c>
      <c r="D4" s="11" t="s">
        <v>9</v>
      </c>
      <c r="E4" s="203"/>
      <c r="F4" s="11" t="s">
        <v>6</v>
      </c>
      <c r="G4" s="12" t="s">
        <v>7</v>
      </c>
      <c r="H4" s="11" t="s">
        <v>8</v>
      </c>
      <c r="I4" s="11" t="s">
        <v>9</v>
      </c>
      <c r="J4" s="312"/>
      <c r="K4" s="11" t="s">
        <v>6</v>
      </c>
      <c r="L4" s="12" t="s">
        <v>7</v>
      </c>
      <c r="M4" s="11" t="s">
        <v>8</v>
      </c>
      <c r="N4" s="11" t="s">
        <v>9</v>
      </c>
      <c r="O4" s="313"/>
      <c r="P4" s="47" t="s">
        <v>6</v>
      </c>
      <c r="Q4" s="80"/>
      <c r="R4" s="47" t="s">
        <v>8</v>
      </c>
      <c r="S4" s="47" t="s">
        <v>9</v>
      </c>
      <c r="T4" s="313"/>
    </row>
    <row r="5" spans="1:28">
      <c r="A5" s="66">
        <f ca="1">TODAY()+TIME(11,0,0)</f>
        <v>46322.458333333336</v>
      </c>
      <c r="B5" s="65"/>
      <c r="C5" s="73">
        <f ca="1">A5-D13</f>
        <v>4.3700231486582197E-2</v>
      </c>
      <c r="D5" s="9">
        <f ca="1">B5*C5</f>
        <v>0</v>
      </c>
      <c r="E5" s="203"/>
      <c r="F5" s="66">
        <f ca="1">TODAY()+TIME(11,0,0)</f>
        <v>46322.458333333336</v>
      </c>
      <c r="G5" s="65"/>
      <c r="H5" s="73">
        <f ca="1">F5-I13</f>
        <v>4.3700231486582197E-2</v>
      </c>
      <c r="I5" s="9">
        <f ca="1">G5*H5</f>
        <v>0</v>
      </c>
      <c r="J5" s="312"/>
      <c r="K5" s="66">
        <f ca="1">TODAY()+TIME(11,0,0)</f>
        <v>46322.458333333336</v>
      </c>
      <c r="L5" s="65"/>
      <c r="M5" s="73">
        <f ca="1">K5-N13</f>
        <v>4.3700231486582197E-2</v>
      </c>
      <c r="N5" s="9">
        <f ca="1">L5*M5</f>
        <v>0</v>
      </c>
      <c r="O5" s="313"/>
      <c r="P5" s="134" t="str">
        <f ca="1">S17</f>
        <v/>
      </c>
      <c r="Q5" s="65"/>
      <c r="R5" s="135" t="e">
        <f ca="1">P5-L25</f>
        <v>#VALUE!</v>
      </c>
      <c r="S5" s="126" t="e">
        <f ca="1">R5*Q5</f>
        <v>#VALUE!</v>
      </c>
      <c r="T5" s="313"/>
    </row>
    <row r="6" spans="1:28">
      <c r="A6" s="66">
        <f ca="1">TODAY()+TIME(12,0,0)</f>
        <v>46322.5</v>
      </c>
      <c r="B6" s="65"/>
      <c r="C6" s="73">
        <f ca="1">A6-D13</f>
        <v>8.5366898150823545E-2</v>
      </c>
      <c r="D6" s="9">
        <f ca="1">B6*C6</f>
        <v>0</v>
      </c>
      <c r="E6" s="203"/>
      <c r="F6" s="66">
        <f ca="1">TODAY()+TIME(12,0,0)</f>
        <v>46322.5</v>
      </c>
      <c r="G6" s="65"/>
      <c r="H6" s="73">
        <f ca="1">F6-I13</f>
        <v>8.5366898150823545E-2</v>
      </c>
      <c r="I6" s="9">
        <f ca="1">G6*H6</f>
        <v>0</v>
      </c>
      <c r="J6" s="312"/>
      <c r="K6" s="66">
        <f ca="1">TODAY()+TIME(12,0,0)</f>
        <v>46322.5</v>
      </c>
      <c r="L6" s="65"/>
      <c r="M6" s="73">
        <f ca="1">K6-N13</f>
        <v>8.5366898150823545E-2</v>
      </c>
      <c r="N6" s="9">
        <f ca="1">L6*M6</f>
        <v>0</v>
      </c>
      <c r="O6" s="313"/>
      <c r="P6" s="11" t="s">
        <v>10</v>
      </c>
      <c r="Q6" s="9" t="e">
        <f ca="1">S5</f>
        <v>#VALUE!</v>
      </c>
      <c r="R6" s="11" t="s">
        <v>11</v>
      </c>
      <c r="S6" s="6">
        <f>Q5</f>
        <v>0</v>
      </c>
      <c r="T6" s="313"/>
    </row>
    <row r="7" spans="1:28">
      <c r="A7" s="66">
        <f ca="1">TODAY()+TIME(13,0,0)</f>
        <v>46322.541666666664</v>
      </c>
      <c r="B7" s="65"/>
      <c r="C7" s="73">
        <f ca="1">A7-D13</f>
        <v>0.12703356481506489</v>
      </c>
      <c r="D7" s="9">
        <f ca="1">B7*C7</f>
        <v>0</v>
      </c>
      <c r="E7" s="203"/>
      <c r="F7" s="66">
        <f ca="1">TODAY()+TIME(13,0,0)</f>
        <v>46322.541666666664</v>
      </c>
      <c r="G7" s="65"/>
      <c r="H7" s="73">
        <f ca="1">F7-I13</f>
        <v>0.12703356481506489</v>
      </c>
      <c r="I7" s="9">
        <f ca="1">G7*H7</f>
        <v>0</v>
      </c>
      <c r="J7" s="312"/>
      <c r="K7" s="66">
        <f ca="1">TODAY()+TIME(13,0,0)</f>
        <v>46322.541666666664</v>
      </c>
      <c r="L7" s="65"/>
      <c r="M7" s="73">
        <f ca="1">K7-N13</f>
        <v>0.12703356481506489</v>
      </c>
      <c r="N7" s="9">
        <f ca="1">L7*M7</f>
        <v>0</v>
      </c>
      <c r="O7" s="313"/>
      <c r="P7" s="11" t="s">
        <v>12</v>
      </c>
      <c r="Q7" s="10" t="e">
        <f>Q2/(Q5)</f>
        <v>#DIV/0!</v>
      </c>
      <c r="R7" s="350"/>
      <c r="S7" s="351"/>
      <c r="T7" s="313"/>
    </row>
    <row r="8" spans="1:28">
      <c r="A8" s="66">
        <f ca="1">TODAY()+TIME(14,0,0)</f>
        <v>46322.583333333336</v>
      </c>
      <c r="B8" s="65"/>
      <c r="C8" s="73">
        <f ca="1">A8-D13</f>
        <v>0.1687002314865822</v>
      </c>
      <c r="D8" s="9">
        <f ca="1">B8*C8</f>
        <v>0</v>
      </c>
      <c r="E8" s="203"/>
      <c r="F8" s="66">
        <f ca="1">TODAY()+TIME(14,0,0)</f>
        <v>46322.583333333336</v>
      </c>
      <c r="G8" s="65"/>
      <c r="H8" s="73">
        <f ca="1">F8-I13</f>
        <v>0.1687002314865822</v>
      </c>
      <c r="I8" s="9">
        <f ca="1">G8*H8</f>
        <v>0</v>
      </c>
      <c r="J8" s="312"/>
      <c r="K8" s="66">
        <f ca="1">TODAY()+TIME(14,0,0)</f>
        <v>46322.583333333336</v>
      </c>
      <c r="L8" s="65"/>
      <c r="M8" s="73">
        <f ca="1">K8-N13</f>
        <v>0.1687002314865822</v>
      </c>
      <c r="N8" s="9">
        <f ca="1">L8*M8</f>
        <v>0</v>
      </c>
      <c r="O8" s="313"/>
      <c r="P8" s="11" t="s">
        <v>13</v>
      </c>
      <c r="Q8" s="9" t="e">
        <f>Q2/(Q3*(Q5))/24</f>
        <v>#DIV/0!</v>
      </c>
      <c r="R8" s="354"/>
      <c r="S8" s="355"/>
      <c r="T8" s="313"/>
    </row>
    <row r="9" spans="1:28">
      <c r="A9" s="66">
        <f ca="1">TODAY()+TIME(15,0,0)</f>
        <v>46322.625</v>
      </c>
      <c r="B9" s="65"/>
      <c r="C9" s="73">
        <f ca="1">A9-D13</f>
        <v>0.21036689815082354</v>
      </c>
      <c r="D9" s="9">
        <f ca="1">B9*C9</f>
        <v>0</v>
      </c>
      <c r="E9" s="203"/>
      <c r="F9" s="66">
        <f ca="1">TODAY()+TIME(15,0,0)</f>
        <v>46322.625</v>
      </c>
      <c r="G9" s="65"/>
      <c r="H9" s="73">
        <f ca="1">F9-I13</f>
        <v>0.21036689815082354</v>
      </c>
      <c r="I9" s="9">
        <f ca="1">G9*H9</f>
        <v>0</v>
      </c>
      <c r="J9" s="312"/>
      <c r="K9" s="66">
        <f ca="1">TODAY()+TIME(15,0,0)</f>
        <v>46322.625</v>
      </c>
      <c r="L9" s="65"/>
      <c r="M9" s="73">
        <f ca="1">K9-N13</f>
        <v>0.21036689815082354</v>
      </c>
      <c r="N9" s="9">
        <f ca="1">L9*M9</f>
        <v>0</v>
      </c>
      <c r="O9" s="313"/>
      <c r="P9" s="11" t="s">
        <v>14</v>
      </c>
      <c r="Q9" s="8" t="str">
        <f ca="1">IFERROR(L25+Q8+IF(Q2&gt;=400,TIME(0,24,0),0),"")</f>
        <v/>
      </c>
      <c r="R9" s="352"/>
      <c r="S9" s="353"/>
      <c r="T9" s="313"/>
    </row>
    <row r="10" spans="1:28">
      <c r="A10" s="11" t="s">
        <v>10</v>
      </c>
      <c r="B10" s="9">
        <f ca="1">D5+D6+D7+D8+D9</f>
        <v>0</v>
      </c>
      <c r="C10" s="11" t="s">
        <v>11</v>
      </c>
      <c r="D10" s="6">
        <f>B9+B8+B7+B6+B5</f>
        <v>0</v>
      </c>
      <c r="E10" s="203"/>
      <c r="F10" s="11" t="s">
        <v>10</v>
      </c>
      <c r="G10" s="9">
        <f ca="1">I5+I6+I7+I8+I9</f>
        <v>0</v>
      </c>
      <c r="H10" s="11" t="s">
        <v>11</v>
      </c>
      <c r="I10" s="6">
        <f>G9+G8+G7+G6+G5</f>
        <v>0</v>
      </c>
      <c r="J10" s="312"/>
      <c r="K10" s="11" t="s">
        <v>10</v>
      </c>
      <c r="L10" s="9">
        <f ca="1">N9+N8+N7+N6+N5</f>
        <v>0</v>
      </c>
      <c r="M10" s="47" t="s">
        <v>11</v>
      </c>
      <c r="N10" s="232">
        <f>L9+L8+L7+L6+L5</f>
        <v>0</v>
      </c>
      <c r="O10" s="313"/>
      <c r="P10" s="318"/>
      <c r="Q10" s="318"/>
      <c r="R10" s="318"/>
      <c r="S10" s="319"/>
      <c r="T10" s="313"/>
    </row>
    <row r="11" spans="1:28">
      <c r="A11" s="11" t="s">
        <v>12</v>
      </c>
      <c r="B11" s="10" t="e">
        <f>B2/(B6+B7+B8+B9)</f>
        <v>#DIV/0!</v>
      </c>
      <c r="C11" s="136"/>
      <c r="D11" s="138"/>
      <c r="E11" s="203"/>
      <c r="F11" s="11" t="s">
        <v>12</v>
      </c>
      <c r="G11" s="10" t="e">
        <f>G2/(G6+G7+G8+G9)</f>
        <v>#DIV/0!</v>
      </c>
      <c r="H11" s="136"/>
      <c r="I11" s="138"/>
      <c r="J11" s="312"/>
      <c r="K11" s="11" t="s">
        <v>12</v>
      </c>
      <c r="L11" s="230" t="e">
        <f>L2/(L6+L7+L8+L9)</f>
        <v>#DIV/0!</v>
      </c>
      <c r="M11" s="235"/>
      <c r="N11" s="236"/>
      <c r="O11" s="313"/>
      <c r="P11" s="121" t="s">
        <v>15</v>
      </c>
      <c r="Q11" s="122"/>
      <c r="R11" s="327" t="s">
        <v>16</v>
      </c>
      <c r="S11" s="328"/>
      <c r="T11" s="313"/>
    </row>
    <row r="12" spans="1:28">
      <c r="A12" s="11" t="s">
        <v>13</v>
      </c>
      <c r="B12" s="9" t="e">
        <f>B2/(B3*(B6+B7+B8+B9+B5))/24</f>
        <v>#DIV/0!</v>
      </c>
      <c r="C12" s="137"/>
      <c r="D12" s="139"/>
      <c r="E12" s="203"/>
      <c r="F12" s="11" t="s">
        <v>13</v>
      </c>
      <c r="G12" s="9" t="e">
        <f>G2/(G3*(G6+G7+G8+G9+G5))/24</f>
        <v>#DIV/0!</v>
      </c>
      <c r="H12" s="137"/>
      <c r="I12" s="139"/>
      <c r="J12" s="312"/>
      <c r="K12" s="11" t="s">
        <v>13</v>
      </c>
      <c r="L12" s="231" t="e">
        <f>L2/(L3*(L6+L7+L8+L9+L5))/24</f>
        <v>#DIV/0!</v>
      </c>
      <c r="M12" s="237"/>
      <c r="N12" s="238"/>
      <c r="O12" s="313"/>
      <c r="P12" s="67" t="s">
        <v>1</v>
      </c>
      <c r="Q12" s="65"/>
      <c r="R12" s="58" t="s">
        <v>1</v>
      </c>
      <c r="S12" s="20" t="str">
        <f ca="1">G13</f>
        <v/>
      </c>
      <c r="T12" s="313"/>
      <c r="U12" s="186"/>
    </row>
    <row r="13" spans="1:28">
      <c r="A13" s="11" t="s">
        <v>14</v>
      </c>
      <c r="B13" s="8" t="str">
        <f ca="1">IFERROR(D13+B12+IF(B2&gt;=1500,TIME(0,24,0),0),"")</f>
        <v/>
      </c>
      <c r="C13" s="11" t="s">
        <v>17</v>
      </c>
      <c r="D13" s="8">
        <f ca="1">NOW()</f>
        <v>46322.414633101849</v>
      </c>
      <c r="E13" s="203"/>
      <c r="F13" s="11" t="s">
        <v>14</v>
      </c>
      <c r="G13" s="8" t="str">
        <f ca="1">IFERROR(I13+G12+IF(G2&gt;=3000,TIME(0,24,0),0),"")</f>
        <v/>
      </c>
      <c r="H13" s="11" t="s">
        <v>17</v>
      </c>
      <c r="I13" s="8">
        <f ca="1">NOW()</f>
        <v>46322.414633101849</v>
      </c>
      <c r="J13" s="312"/>
      <c r="K13" s="11" t="s">
        <v>14</v>
      </c>
      <c r="L13" s="8" t="str">
        <f ca="1">IFERROR(N13+L12+IF(L2&gt;=400,TIME(0,24,0),0),"")</f>
        <v/>
      </c>
      <c r="M13" s="233" t="s">
        <v>17</v>
      </c>
      <c r="N13" s="234">
        <f ca="1">NOW()</f>
        <v>46322.414633101849</v>
      </c>
      <c r="O13" s="313"/>
      <c r="P13" s="68" t="s">
        <v>0</v>
      </c>
      <c r="Q13" s="65"/>
      <c r="R13" s="59" t="s">
        <v>0</v>
      </c>
      <c r="S13" s="20" t="str">
        <f ca="1">B13</f>
        <v/>
      </c>
      <c r="T13" s="313"/>
    </row>
    <row r="14" spans="1:28">
      <c r="A14" s="329"/>
      <c r="B14" s="330"/>
      <c r="C14" s="330"/>
      <c r="D14" s="331"/>
      <c r="E14" s="203"/>
      <c r="F14" s="317"/>
      <c r="G14" s="318"/>
      <c r="H14" s="318"/>
      <c r="I14" s="319"/>
      <c r="J14" s="312"/>
      <c r="K14" s="317"/>
      <c r="L14" s="318"/>
      <c r="M14" s="318"/>
      <c r="N14" s="318"/>
      <c r="O14" s="313"/>
      <c r="P14" s="69" t="s">
        <v>2</v>
      </c>
      <c r="Q14" s="65"/>
      <c r="R14" s="60" t="s">
        <v>2</v>
      </c>
      <c r="S14" s="20" t="str">
        <f ca="1">L13</f>
        <v/>
      </c>
      <c r="T14" s="313"/>
    </row>
    <row r="15" spans="1:28">
      <c r="A15" s="320" t="s">
        <v>18</v>
      </c>
      <c r="B15" s="321"/>
      <c r="C15" s="321"/>
      <c r="D15" s="322"/>
      <c r="F15" s="323" t="s">
        <v>19</v>
      </c>
      <c r="G15" s="324"/>
      <c r="H15" s="324"/>
      <c r="I15" s="325"/>
      <c r="J15" s="312"/>
      <c r="K15" s="86" t="s">
        <v>20</v>
      </c>
      <c r="L15" s="87" t="e">
        <f ca="1">N29-N28-(L17/24)</f>
        <v>#DIV/0!</v>
      </c>
      <c r="M15" s="86" t="s">
        <v>21</v>
      </c>
      <c r="N15" s="88" t="e">
        <f ca="1">N16+(L16*L17)</f>
        <v>#DIV/0!</v>
      </c>
      <c r="O15" s="313"/>
      <c r="P15" s="70" t="s">
        <v>18</v>
      </c>
      <c r="Q15" s="65"/>
      <c r="R15" s="61" t="s">
        <v>18</v>
      </c>
      <c r="S15" s="20" t="str">
        <f ca="1">B27</f>
        <v/>
      </c>
      <c r="T15" s="313"/>
      <c r="AB15">
        <f ca="1">IFERROR(((N17-N16)/L16)/24,0)+IF(AA26&lt;0,-AA26,0)</f>
        <v>0</v>
      </c>
    </row>
    <row r="16" spans="1:28">
      <c r="A16" s="11" t="s">
        <v>4</v>
      </c>
      <c r="B16" s="6">
        <f>Q15</f>
        <v>0</v>
      </c>
      <c r="C16" s="136"/>
      <c r="D16" s="138"/>
      <c r="F16" s="11" t="s">
        <v>4</v>
      </c>
      <c r="G16" s="6">
        <f>Q16</f>
        <v>0</v>
      </c>
      <c r="H16" s="136"/>
      <c r="I16" s="138"/>
      <c r="J16" s="312"/>
      <c r="K16" s="12" t="s">
        <v>22</v>
      </c>
      <c r="L16" s="90" t="e">
        <f ca="1">(G3*G10+B3*B10+L3*L10+B17*B24+G17*G24)/
(G10+B10+L10+B24+G24)</f>
        <v>#DIV/0!</v>
      </c>
      <c r="M16" s="86" t="s">
        <v>23</v>
      </c>
      <c r="N16" s="89" t="e">
        <f ca="1">L16*N28*24</f>
        <v>#DIV/0!</v>
      </c>
      <c r="O16" s="313"/>
      <c r="P16" s="71" t="s">
        <v>19</v>
      </c>
      <c r="Q16" s="65"/>
      <c r="R16" s="71" t="s">
        <v>19</v>
      </c>
      <c r="S16" s="20" t="str">
        <f ca="1">G27</f>
        <v/>
      </c>
      <c r="T16" s="313"/>
    </row>
    <row r="17" spans="1:27">
      <c r="A17" s="11" t="s">
        <v>5</v>
      </c>
      <c r="B17" s="6">
        <f>'Keräysteho kplh'!B5</f>
        <v>438</v>
      </c>
      <c r="C17" s="137"/>
      <c r="D17" s="139"/>
      <c r="F17" s="11" t="s">
        <v>5</v>
      </c>
      <c r="G17" s="6">
        <f>'Keräysteho kplh'!B6</f>
        <v>400</v>
      </c>
      <c r="H17" s="137"/>
      <c r="I17" s="139"/>
      <c r="J17" s="312"/>
      <c r="K17" s="175" t="s">
        <v>24</v>
      </c>
      <c r="L17" s="222">
        <v>0</v>
      </c>
      <c r="M17" s="12" t="s">
        <v>25</v>
      </c>
      <c r="N17" s="13">
        <f>G2+B2+L2+B16+G16</f>
        <v>0</v>
      </c>
      <c r="O17" s="313"/>
      <c r="P17" s="72" t="s">
        <v>3</v>
      </c>
      <c r="Q17" s="65"/>
      <c r="R17" s="63" t="s">
        <v>3</v>
      </c>
      <c r="S17" s="8" t="str">
        <f ca="1">Q9</f>
        <v/>
      </c>
      <c r="T17" s="313"/>
    </row>
    <row r="18" spans="1:27">
      <c r="A18" s="11" t="s">
        <v>6</v>
      </c>
      <c r="B18" s="12" t="s">
        <v>7</v>
      </c>
      <c r="C18" s="11" t="s">
        <v>8</v>
      </c>
      <c r="D18" s="11" t="s">
        <v>9</v>
      </c>
      <c r="F18" s="11" t="s">
        <v>6</v>
      </c>
      <c r="G18" s="12" t="s">
        <v>7</v>
      </c>
      <c r="H18" s="11" t="s">
        <v>8</v>
      </c>
      <c r="I18" s="11" t="s">
        <v>9</v>
      </c>
      <c r="J18" s="312"/>
      <c r="K18" s="209" t="s">
        <v>26</v>
      </c>
      <c r="L18" s="210">
        <f>L26*24/1440</f>
        <v>0</v>
      </c>
      <c r="M18" s="211" t="s">
        <v>27</v>
      </c>
      <c r="N18" s="211">
        <f>G2+B2+L2+Q2+B16+G16</f>
        <v>0</v>
      </c>
      <c r="O18" s="313"/>
      <c r="P18" s="46" t="s">
        <v>28</v>
      </c>
      <c r="Q18" s="82">
        <f>Q12+Q13+Q14+Q15+Q16+Q17</f>
        <v>0</v>
      </c>
      <c r="R18" s="33" t="s">
        <v>28</v>
      </c>
      <c r="S18" s="8">
        <f ca="1">L28</f>
        <v>0</v>
      </c>
      <c r="T18" s="313"/>
      <c r="U18" s="115"/>
      <c r="V18" s="116"/>
    </row>
    <row r="19" spans="1:27" ht="15.75" customHeight="1">
      <c r="A19" s="66">
        <f ca="1">TODAY()+TIME(11,0,0)</f>
        <v>46322.458333333336</v>
      </c>
      <c r="B19" s="65"/>
      <c r="C19" s="73">
        <f ca="1">A19-D27</f>
        <v>4.3700231486582197E-2</v>
      </c>
      <c r="D19" s="9">
        <f ca="1">B19*C19</f>
        <v>0</v>
      </c>
      <c r="F19" s="66">
        <f ca="1">TODAY()+TIME(11,0,0)</f>
        <v>46322.458333333336</v>
      </c>
      <c r="G19" s="65"/>
      <c r="H19" s="73">
        <f ca="1">F19-I27</f>
        <v>4.3700231486582197E-2</v>
      </c>
      <c r="I19" s="9">
        <f ca="1">G19*H19</f>
        <v>0</v>
      </c>
      <c r="J19" s="312"/>
      <c r="K19" s="206" t="s">
        <v>6</v>
      </c>
      <c r="L19" s="206" t="s">
        <v>29</v>
      </c>
      <c r="M19" s="207" t="s">
        <v>30</v>
      </c>
      <c r="N19" s="208" t="e">
        <f ca="1">(G3*G10+B3*B10+L3*L10+Q3*Q6+B17*B24+G17*G24)/
(G10+B10+L10+Q6+B24+G24)</f>
        <v>#VALUE!</v>
      </c>
      <c r="O19" s="313"/>
      <c r="P19" s="332"/>
      <c r="Q19" s="332"/>
      <c r="R19" s="332"/>
      <c r="S19" s="333"/>
      <c r="T19" s="313"/>
      <c r="U19" s="115"/>
      <c r="V19" s="117"/>
      <c r="X19" s="114"/>
    </row>
    <row r="20" spans="1:27">
      <c r="A20" s="66">
        <f ca="1">TODAY()+TIME(12,0,0)</f>
        <v>46322.5</v>
      </c>
      <c r="B20" s="65"/>
      <c r="C20" s="73">
        <f ca="1">A20-D27</f>
        <v>8.5366898150823545E-2</v>
      </c>
      <c r="D20" s="9">
        <f ca="1">B20*C20</f>
        <v>0</v>
      </c>
      <c r="F20" s="66">
        <f ca="1">TODAY()+TIME(12,0,0)</f>
        <v>46322.5</v>
      </c>
      <c r="G20" s="65"/>
      <c r="H20" s="73">
        <f ca="1">F20-I27</f>
        <v>8.5366898150823545E-2</v>
      </c>
      <c r="I20" s="9">
        <f ca="1">G20*H20</f>
        <v>0</v>
      </c>
      <c r="J20" s="312"/>
      <c r="K20" s="212">
        <f ca="1">TODAY()+TIME(11,0,0)</f>
        <v>46322.458333333336</v>
      </c>
      <c r="L20" s="213">
        <f>G19+B19+G5+B5+L5</f>
        <v>0</v>
      </c>
      <c r="M20" s="214">
        <f ca="1">K20-L25</f>
        <v>4.3700231486582197E-2</v>
      </c>
      <c r="N20" s="215">
        <f ca="1">L20*M20</f>
        <v>0</v>
      </c>
      <c r="O20" s="313"/>
      <c r="P20" s="356" t="s">
        <v>31</v>
      </c>
      <c r="Q20" s="357"/>
      <c r="R20" s="356" t="s">
        <v>32</v>
      </c>
      <c r="S20" s="357"/>
      <c r="T20" s="313"/>
      <c r="U20" s="115"/>
      <c r="V20" s="117"/>
      <c r="X20" s="114"/>
    </row>
    <row r="21" spans="1:27">
      <c r="A21" s="66">
        <f ca="1">TODAY()+TIME(13,0,0)</f>
        <v>46322.541666666664</v>
      </c>
      <c r="B21" s="65"/>
      <c r="C21" s="73">
        <f ca="1">A21-D27</f>
        <v>0.12703356481506489</v>
      </c>
      <c r="D21" s="9">
        <f ca="1">B21*C21</f>
        <v>0</v>
      </c>
      <c r="F21" s="66">
        <f ca="1">TODAY()+TIME(13,0,0)</f>
        <v>46322.541666666664</v>
      </c>
      <c r="G21" s="65"/>
      <c r="H21" s="73">
        <f ca="1">F21-I27</f>
        <v>0.12703356481506489</v>
      </c>
      <c r="I21" s="9">
        <f ca="1">G21*H21</f>
        <v>0</v>
      </c>
      <c r="J21" s="312"/>
      <c r="K21" s="14">
        <f ca="1">TODAY()+TIME(12,0,0)</f>
        <v>46322.5</v>
      </c>
      <c r="L21" s="13">
        <f>G20+B20+G6+B6+L6</f>
        <v>0</v>
      </c>
      <c r="M21" s="15">
        <f ca="1">K21-L25</f>
        <v>8.5366898150823545E-2</v>
      </c>
      <c r="N21" s="54">
        <f ca="1">L21*M21</f>
        <v>0</v>
      </c>
      <c r="O21" s="313"/>
      <c r="P21" s="191" t="s">
        <v>33</v>
      </c>
      <c r="Q21" s="65"/>
      <c r="R21" s="192" t="s">
        <v>34</v>
      </c>
      <c r="S21" s="187">
        <f>Q21/25</f>
        <v>0</v>
      </c>
      <c r="T21" s="313"/>
      <c r="U21" s="115"/>
      <c r="V21" s="117"/>
      <c r="X21" s="114"/>
    </row>
    <row r="22" spans="1:27">
      <c r="A22" s="66">
        <f ca="1">TODAY()+TIME(14,0,0)</f>
        <v>46322.583333333336</v>
      </c>
      <c r="B22" s="65"/>
      <c r="C22" s="73">
        <f ca="1">A22-D27</f>
        <v>0.1687002314865822</v>
      </c>
      <c r="D22" s="9">
        <f ca="1">B22*C22</f>
        <v>0</v>
      </c>
      <c r="F22" s="66">
        <f ca="1">TODAY()+TIME(14,0,0)</f>
        <v>46322.583333333336</v>
      </c>
      <c r="G22" s="65"/>
      <c r="H22" s="73">
        <f ca="1">F22-I27</f>
        <v>0.1687002314865822</v>
      </c>
      <c r="I22" s="9">
        <f ca="1">G22*H22</f>
        <v>0</v>
      </c>
      <c r="J22" s="312"/>
      <c r="K22" s="14">
        <f ca="1">TODAY()+TIME(13,0,0)</f>
        <v>46322.541666666664</v>
      </c>
      <c r="L22" s="13">
        <f>G21+B21+G7+B7+L7</f>
        <v>0</v>
      </c>
      <c r="M22" s="15">
        <f ca="1">K22-L25</f>
        <v>0.12703356481506489</v>
      </c>
      <c r="N22" s="54">
        <f ca="1">L22*M22</f>
        <v>0</v>
      </c>
      <c r="O22" s="313"/>
      <c r="P22" s="181" t="s">
        <v>1</v>
      </c>
      <c r="Q22" s="65"/>
      <c r="R22" s="193" t="s">
        <v>34</v>
      </c>
      <c r="S22" s="194">
        <f>B32</f>
        <v>0</v>
      </c>
      <c r="T22" s="313"/>
      <c r="U22" s="115"/>
      <c r="V22" s="117"/>
    </row>
    <row r="23" spans="1:27">
      <c r="A23" s="66">
        <f ca="1">TODAY()+TIME(15,0,0)</f>
        <v>46322.625</v>
      </c>
      <c r="B23" s="65"/>
      <c r="C23" s="73">
        <f ca="1">A23-D27</f>
        <v>0.21036689815082354</v>
      </c>
      <c r="D23" s="9">
        <f ca="1">B23*C23</f>
        <v>0</v>
      </c>
      <c r="F23" s="66">
        <f ca="1">TODAY()+TIME(15,0,0)</f>
        <v>46322.625</v>
      </c>
      <c r="G23" s="65"/>
      <c r="H23" s="92">
        <f ca="1">F23-I27</f>
        <v>0.21036689815082354</v>
      </c>
      <c r="I23" s="9">
        <f ca="1">G23*H23</f>
        <v>0</v>
      </c>
      <c r="J23" s="312"/>
      <c r="K23" s="50">
        <f ca="1">TODAY()+TIME(14,0,0)</f>
        <v>46322.583333333336</v>
      </c>
      <c r="L23" s="211">
        <f>G22+B22+G8+B8+L8</f>
        <v>0</v>
      </c>
      <c r="M23" s="127">
        <f ca="1">K23-L25</f>
        <v>0.1687002314865822</v>
      </c>
      <c r="N23" s="128">
        <f ca="1">L23*M23</f>
        <v>0</v>
      </c>
      <c r="O23" s="313"/>
      <c r="P23" s="182" t="s">
        <v>0</v>
      </c>
      <c r="Q23" s="65"/>
      <c r="R23" s="195" t="s">
        <v>34</v>
      </c>
      <c r="S23" s="194">
        <f>G32</f>
        <v>0</v>
      </c>
      <c r="T23" s="313"/>
      <c r="U23" s="115"/>
      <c r="V23" s="117"/>
      <c r="X23" s="114"/>
    </row>
    <row r="24" spans="1:27">
      <c r="A24" s="11" t="s">
        <v>10</v>
      </c>
      <c r="B24" s="9">
        <f ca="1">D23+D22+D21+D20+D19</f>
        <v>0</v>
      </c>
      <c r="C24" s="11" t="s">
        <v>11</v>
      </c>
      <c r="D24" s="6">
        <f>B23+B22+B21+B20+B19</f>
        <v>0</v>
      </c>
      <c r="F24" s="11" t="s">
        <v>10</v>
      </c>
      <c r="G24" s="9">
        <f ca="1">I23+I22+I21+I20+I19</f>
        <v>0</v>
      </c>
      <c r="H24" s="11" t="s">
        <v>11</v>
      </c>
      <c r="I24" s="6">
        <f>G23+G22+G21+G20+G19</f>
        <v>0</v>
      </c>
      <c r="J24" s="312"/>
      <c r="K24" s="216">
        <f ca="1">TODAY()+TIME(15,0,0)</f>
        <v>46322.625</v>
      </c>
      <c r="L24" s="217">
        <f>G23+B23+G9+B9+L9</f>
        <v>0</v>
      </c>
      <c r="M24" s="218">
        <f ca="1">K24-L25</f>
        <v>0.21036689815082354</v>
      </c>
      <c r="N24" s="219">
        <f ca="1">L24*M24</f>
        <v>0</v>
      </c>
      <c r="O24" s="313"/>
      <c r="P24" s="183" t="s">
        <v>2</v>
      </c>
      <c r="Q24" s="65"/>
      <c r="R24" s="196" t="s">
        <v>35</v>
      </c>
      <c r="S24" s="194" t="s">
        <v>36</v>
      </c>
      <c r="T24" s="313"/>
      <c r="U24" s="115"/>
      <c r="V24" s="118"/>
      <c r="X24" s="114"/>
    </row>
    <row r="25" spans="1:27">
      <c r="A25" s="11" t="s">
        <v>12</v>
      </c>
      <c r="B25" s="10" t="e">
        <f>B16/(B20+B21+B22+B23)</f>
        <v>#DIV/0!</v>
      </c>
      <c r="C25" s="136"/>
      <c r="D25" s="138"/>
      <c r="F25" s="11" t="s">
        <v>12</v>
      </c>
      <c r="G25" s="10" t="e">
        <f>G16/(G20+G21+G22+G23)</f>
        <v>#DIV/0!</v>
      </c>
      <c r="H25" s="136"/>
      <c r="I25" s="138"/>
      <c r="J25" s="312"/>
      <c r="K25" s="176" t="s">
        <v>17</v>
      </c>
      <c r="L25" s="212">
        <f ca="1">NOW()</f>
        <v>46322.414633101849</v>
      </c>
      <c r="M25" s="220" t="s">
        <v>37</v>
      </c>
      <c r="N25" s="221" t="str">
        <f ca="1">IF(AA25&lt;0,"-","")&amp;INT(ROUND(ABS(AA25)*1440,0)/60)&amp;":"&amp;TEXT(MOD(ROUND(ABS(AA25)*1440,0),60),"00")</f>
        <v>0:00</v>
      </c>
      <c r="O25" s="313"/>
      <c r="P25" s="185" t="s">
        <v>18</v>
      </c>
      <c r="Q25" s="65"/>
      <c r="R25" s="197" t="s">
        <v>38</v>
      </c>
      <c r="S25" s="194">
        <f>B38</f>
        <v>0</v>
      </c>
      <c r="T25" s="313"/>
      <c r="U25" s="119"/>
      <c r="V25" s="118"/>
      <c r="AA25">
        <f ca="1">N28-IFERROR((G2/G3+B2/B3+L2/L3+B16/B17+G16/G17)/24,0)+L17/24</f>
        <v>0</v>
      </c>
    </row>
    <row r="26" spans="1:27">
      <c r="A26" s="11" t="s">
        <v>13</v>
      </c>
      <c r="B26" s="9" t="e">
        <f>B16/(B17*(B20+B21+B22+B23+B19))/24</f>
        <v>#DIV/0!</v>
      </c>
      <c r="C26" s="137"/>
      <c r="D26" s="139"/>
      <c r="F26" s="11" t="s">
        <v>13</v>
      </c>
      <c r="G26" s="9" t="e">
        <f>G16/(G17*(G20+G21+G22+G23+G19))/24</f>
        <v>#DIV/0!</v>
      </c>
      <c r="H26" s="137"/>
      <c r="I26" s="139"/>
      <c r="J26" s="312"/>
      <c r="K26" s="12" t="s">
        <v>11</v>
      </c>
      <c r="L26" s="205">
        <f>L24+L23+L22+L21+L20</f>
        <v>0</v>
      </c>
      <c r="M26" s="204" t="s">
        <v>39</v>
      </c>
      <c r="N26" s="228" t="str">
        <f ca="1">IF(AA26&lt;0,"-","")&amp;INT(ROUND(ABS(AA26)*1440,0)/60)&amp;":"&amp;TEXT(MOD(ROUND(ABS(AA26)*1440,0),60),"00")</f>
        <v>0:00</v>
      </c>
      <c r="O26" s="313"/>
      <c r="P26" s="184" t="s">
        <v>19</v>
      </c>
      <c r="Q26" s="65"/>
      <c r="R26" s="198" t="s">
        <v>38</v>
      </c>
      <c r="S26" s="194">
        <f>G38</f>
        <v>0</v>
      </c>
      <c r="T26" s="313"/>
      <c r="AA26">
        <f ca="1">AA25-L18</f>
        <v>0</v>
      </c>
    </row>
    <row r="27" spans="1:27">
      <c r="A27" s="47" t="s">
        <v>14</v>
      </c>
      <c r="B27" s="48" t="str">
        <f ca="1">IFERROR(D27+B26+IF(B16&gt;=5000,TIME(0,24,0),0),"")</f>
        <v/>
      </c>
      <c r="C27" s="11" t="s">
        <v>17</v>
      </c>
      <c r="D27" s="8">
        <f ca="1">NOW()</f>
        <v>46322.414633101849</v>
      </c>
      <c r="F27" s="47" t="s">
        <v>14</v>
      </c>
      <c r="G27" s="48" t="str">
        <f ca="1">IFERROR(I27+G26+IF(G16&gt;=5000,TIME(0,24,0),0),"")</f>
        <v/>
      </c>
      <c r="H27" s="11" t="s">
        <v>17</v>
      </c>
      <c r="I27" s="8">
        <f ca="1">NOW()</f>
        <v>46322.414633101849</v>
      </c>
      <c r="J27" s="312"/>
      <c r="K27" s="12" t="s">
        <v>12</v>
      </c>
      <c r="L27" s="16" t="e">
        <f>N17/(L21+L22+L23+L24)</f>
        <v>#DIV/0!</v>
      </c>
      <c r="M27" s="204" t="s">
        <v>40</v>
      </c>
      <c r="N27" s="227">
        <f ca="1">ABS(AA26+AA25)/2</f>
        <v>0</v>
      </c>
      <c r="O27" s="313"/>
      <c r="P27" s="180" t="s">
        <v>3</v>
      </c>
      <c r="Q27" s="65"/>
      <c r="R27" s="199" t="s">
        <v>34</v>
      </c>
      <c r="S27" s="194">
        <f>L39</f>
        <v>0</v>
      </c>
      <c r="T27" s="313"/>
    </row>
    <row r="28" spans="1:27">
      <c r="A28" s="326"/>
      <c r="B28" s="326"/>
      <c r="C28" s="326"/>
      <c r="D28" s="326"/>
      <c r="F28" s="326"/>
      <c r="G28" s="326"/>
      <c r="H28" s="326"/>
      <c r="I28" s="334"/>
      <c r="J28" s="312"/>
      <c r="K28" s="49" t="s">
        <v>14</v>
      </c>
      <c r="L28" s="50">
        <f ca="1">MAX(IFERROR(B27*1,0),IFERROR(G27*1,0),IFERROR(L13*1,0),IFERROR(B13*1,0),IFERROR(G13*1,0),IFERROR(Q9*1,0))</f>
        <v>0</v>
      </c>
      <c r="M28" s="12" t="s">
        <v>10</v>
      </c>
      <c r="N28" s="15">
        <f ca="1">N21+N22+N23+N24+N20</f>
        <v>0</v>
      </c>
      <c r="O28" s="313"/>
      <c r="P28" s="190" t="s">
        <v>28</v>
      </c>
      <c r="Q28" s="189">
        <f>B31+D31+L34+L38+D37+B37</f>
        <v>0</v>
      </c>
      <c r="R28" s="190" t="s">
        <v>28</v>
      </c>
      <c r="S28" s="187">
        <f>S27+S26+S25+S23+S22+S21</f>
        <v>0</v>
      </c>
      <c r="T28" s="313"/>
    </row>
    <row r="29" spans="1:27">
      <c r="A29" s="335" t="s">
        <v>1</v>
      </c>
      <c r="B29" s="336"/>
      <c r="C29" s="336"/>
      <c r="D29" s="337"/>
      <c r="F29" s="338" t="s">
        <v>0</v>
      </c>
      <c r="G29" s="339"/>
      <c r="H29" s="339"/>
      <c r="I29" s="340"/>
      <c r="J29" s="312"/>
      <c r="K29" s="49" t="s">
        <v>41</v>
      </c>
      <c r="L29" s="50">
        <f ca="1">L28+(L18/24)</f>
        <v>0</v>
      </c>
      <c r="M29" s="12" t="s">
        <v>42</v>
      </c>
      <c r="N29" s="229" t="e">
        <f ca="1">N17/L16/24</f>
        <v>#DIV/0!</v>
      </c>
      <c r="O29" s="313"/>
      <c r="P29" s="173" t="s">
        <v>43</v>
      </c>
      <c r="Q29" s="194" t="e">
        <f>Q28/L26</f>
        <v>#DIV/0!</v>
      </c>
      <c r="R29" s="173" t="s">
        <v>43</v>
      </c>
      <c r="S29" s="187" t="e">
        <f>S28/L26</f>
        <v>#DIV/0!</v>
      </c>
      <c r="T29" s="313"/>
    </row>
    <row r="30" spans="1:27" ht="15.75" customHeight="1">
      <c r="A30" s="17" t="s">
        <v>44</v>
      </c>
      <c r="B30" s="6">
        <f>G2</f>
        <v>0</v>
      </c>
      <c r="C30" s="11" t="s">
        <v>11</v>
      </c>
      <c r="D30" s="6">
        <f>I10</f>
        <v>0</v>
      </c>
      <c r="F30" s="17" t="s">
        <v>44</v>
      </c>
      <c r="G30" s="6">
        <f>B2</f>
        <v>0</v>
      </c>
      <c r="H30" s="11" t="s">
        <v>11</v>
      </c>
      <c r="I30" s="6">
        <f>D10</f>
        <v>0</v>
      </c>
      <c r="J30" s="312"/>
      <c r="K30" s="226" t="s">
        <v>45</v>
      </c>
      <c r="L30" s="225">
        <f ca="1">AVERAGE(L28,L29)</f>
        <v>0</v>
      </c>
      <c r="M30" s="12" t="s">
        <v>46</v>
      </c>
      <c r="N30" s="9">
        <f>MAX(IFERROR(B26*1,0),IFERROR(G26*1,0),IFERROR(L12*1,0),IFERROR(B12*1,0),IFERROR(G12*1,0),IFERROR(Q8*1,0))</f>
        <v>0</v>
      </c>
      <c r="O30" s="313"/>
      <c r="P30" s="341"/>
      <c r="Q30" s="342"/>
      <c r="R30" s="342"/>
      <c r="S30" s="342"/>
      <c r="T30" s="313"/>
    </row>
    <row r="31" spans="1:27">
      <c r="A31" s="17" t="s">
        <v>47</v>
      </c>
      <c r="B31" s="6">
        <f>Q22</f>
        <v>0</v>
      </c>
      <c r="C31" s="136"/>
      <c r="D31" s="138"/>
      <c r="F31" s="17" t="s">
        <v>47</v>
      </c>
      <c r="G31" s="6">
        <f>Q23</f>
        <v>0</v>
      </c>
      <c r="H31" s="136"/>
      <c r="I31" s="138"/>
      <c r="J31" s="312"/>
      <c r="K31" s="343"/>
      <c r="L31" s="343"/>
      <c r="M31" s="343"/>
      <c r="N31" s="343"/>
      <c r="O31" s="313"/>
      <c r="P31" s="178" t="s">
        <v>48</v>
      </c>
      <c r="Q31" s="179"/>
      <c r="R31" s="344" t="s">
        <v>49</v>
      </c>
      <c r="S31" s="345"/>
      <c r="T31" s="313"/>
    </row>
    <row r="32" spans="1:27">
      <c r="A32" s="17" t="s">
        <v>50</v>
      </c>
      <c r="B32" s="18">
        <f>B31/9</f>
        <v>0</v>
      </c>
      <c r="C32" s="137"/>
      <c r="D32" s="139"/>
      <c r="F32" s="17" t="s">
        <v>50</v>
      </c>
      <c r="G32" s="18">
        <f>G31/9</f>
        <v>0</v>
      </c>
      <c r="H32" s="137"/>
      <c r="I32" s="139"/>
      <c r="J32" s="312"/>
      <c r="K32" s="315" t="s">
        <v>2</v>
      </c>
      <c r="L32" s="316"/>
      <c r="M32" s="316"/>
      <c r="N32" s="316"/>
      <c r="O32" s="313"/>
      <c r="P32" s="358" t="s">
        <v>1</v>
      </c>
      <c r="Q32" s="358"/>
      <c r="R32" s="74" t="s">
        <v>34</v>
      </c>
      <c r="S32" s="170" t="e">
        <f>S22/I10</f>
        <v>#DIV/0!</v>
      </c>
      <c r="T32" s="313"/>
    </row>
    <row r="33" spans="1:20">
      <c r="A33" s="17" t="s">
        <v>51</v>
      </c>
      <c r="B33" s="18" t="e">
        <f>B32/I10</f>
        <v>#DIV/0!</v>
      </c>
      <c r="C33" s="140"/>
      <c r="D33" s="141"/>
      <c r="F33" s="17" t="s">
        <v>51</v>
      </c>
      <c r="G33" s="18" t="e">
        <f>G32/D10</f>
        <v>#DIV/0!</v>
      </c>
      <c r="H33" s="140"/>
      <c r="I33" s="141"/>
      <c r="J33" s="312"/>
      <c r="K33" s="17" t="s">
        <v>44</v>
      </c>
      <c r="L33" s="6">
        <f>L2</f>
        <v>0</v>
      </c>
      <c r="M33" s="11" t="s">
        <v>11</v>
      </c>
      <c r="N33" s="57">
        <f>N10</f>
        <v>0</v>
      </c>
      <c r="O33" s="313"/>
      <c r="P33" s="359" t="s">
        <v>0</v>
      </c>
      <c r="Q33" s="359"/>
      <c r="R33" s="75" t="s">
        <v>34</v>
      </c>
      <c r="S33" s="170" t="e">
        <f>S23/D10</f>
        <v>#DIV/0!</v>
      </c>
      <c r="T33" s="313"/>
    </row>
    <row r="34" spans="1:20">
      <c r="A34" s="317"/>
      <c r="B34" s="318"/>
      <c r="C34" s="318"/>
      <c r="D34" s="319"/>
      <c r="F34" s="317"/>
      <c r="G34" s="318"/>
      <c r="H34" s="318"/>
      <c r="I34" s="319"/>
      <c r="J34" s="312"/>
      <c r="K34" s="17" t="s">
        <v>52</v>
      </c>
      <c r="L34" s="6">
        <f>Q24</f>
        <v>0</v>
      </c>
      <c r="M34" s="17" t="s">
        <v>43</v>
      </c>
      <c r="N34" s="18" t="e">
        <f>L34/N10</f>
        <v>#DIV/0!</v>
      </c>
      <c r="O34" s="313"/>
      <c r="P34" s="346" t="s">
        <v>2</v>
      </c>
      <c r="Q34" s="346"/>
      <c r="R34" s="76" t="s">
        <v>53</v>
      </c>
      <c r="S34" s="170" t="e">
        <f>N34</f>
        <v>#DIV/0!</v>
      </c>
      <c r="T34" s="313"/>
    </row>
    <row r="35" spans="1:20">
      <c r="A35" s="320" t="s">
        <v>18</v>
      </c>
      <c r="B35" s="321"/>
      <c r="C35" s="321"/>
      <c r="D35" s="322"/>
      <c r="F35" s="323" t="s">
        <v>19</v>
      </c>
      <c r="G35" s="324"/>
      <c r="H35" s="324"/>
      <c r="I35" s="325"/>
      <c r="J35" s="312"/>
      <c r="K35" s="317"/>
      <c r="L35" s="318"/>
      <c r="M35" s="318"/>
      <c r="N35" s="318"/>
      <c r="O35" s="313"/>
      <c r="P35" s="365" t="s">
        <v>18</v>
      </c>
      <c r="Q35" s="365"/>
      <c r="R35" s="77" t="s">
        <v>38</v>
      </c>
      <c r="S35" s="170" t="e">
        <f>S25/D24</f>
        <v>#DIV/0!</v>
      </c>
      <c r="T35" s="313"/>
    </row>
    <row r="36" spans="1:20">
      <c r="A36" s="17" t="s">
        <v>44</v>
      </c>
      <c r="B36" s="6">
        <f>B16</f>
        <v>0</v>
      </c>
      <c r="C36" s="11" t="s">
        <v>11</v>
      </c>
      <c r="D36" s="6">
        <f>D16</f>
        <v>0</v>
      </c>
      <c r="F36" s="17" t="s">
        <v>44</v>
      </c>
      <c r="G36" s="6">
        <f>G16</f>
        <v>0</v>
      </c>
      <c r="H36" s="11" t="s">
        <v>11</v>
      </c>
      <c r="I36" s="6">
        <f>I16</f>
        <v>0</v>
      </c>
      <c r="J36" s="312"/>
      <c r="K36" s="347" t="s">
        <v>3</v>
      </c>
      <c r="L36" s="348"/>
      <c r="M36" s="348"/>
      <c r="N36" s="348"/>
      <c r="O36" s="313"/>
      <c r="P36" s="366" t="s">
        <v>19</v>
      </c>
      <c r="Q36" s="366"/>
      <c r="R36" s="78" t="s">
        <v>38</v>
      </c>
      <c r="S36" s="170" t="e">
        <f>S26/I24</f>
        <v>#DIV/0!</v>
      </c>
      <c r="T36" s="313"/>
    </row>
    <row r="37" spans="1:20">
      <c r="A37" s="17" t="s">
        <v>47</v>
      </c>
      <c r="B37" s="6">
        <f>Q25</f>
        <v>0</v>
      </c>
      <c r="C37" s="136"/>
      <c r="D37" s="138"/>
      <c r="F37" s="17" t="s">
        <v>47</v>
      </c>
      <c r="G37" s="6">
        <f>Q26</f>
        <v>0</v>
      </c>
      <c r="H37" s="157"/>
      <c r="I37" s="158"/>
      <c r="J37" s="312"/>
      <c r="K37" s="17" t="s">
        <v>44</v>
      </c>
      <c r="L37" s="6">
        <f>Q2</f>
        <v>0</v>
      </c>
      <c r="M37" s="11" t="s">
        <v>11</v>
      </c>
      <c r="N37" s="57">
        <f>S6</f>
        <v>0</v>
      </c>
      <c r="O37" s="313"/>
      <c r="P37" s="367" t="s">
        <v>3</v>
      </c>
      <c r="Q37" s="367"/>
      <c r="R37" s="177" t="s">
        <v>34</v>
      </c>
      <c r="S37" s="171" t="e">
        <f>S27/S6</f>
        <v>#DIV/0!</v>
      </c>
      <c r="T37" s="313"/>
    </row>
    <row r="38" spans="1:20" ht="15" customHeight="1">
      <c r="A38" s="17" t="s">
        <v>54</v>
      </c>
      <c r="B38" s="18">
        <f>B37/10</f>
        <v>0</v>
      </c>
      <c r="C38" s="137"/>
      <c r="D38" s="139"/>
      <c r="F38" s="17" t="s">
        <v>54</v>
      </c>
      <c r="G38" s="18">
        <f>G37/10</f>
        <v>0</v>
      </c>
      <c r="H38" s="159"/>
      <c r="I38" s="160"/>
      <c r="J38" s="312"/>
      <c r="K38" s="17" t="s">
        <v>47</v>
      </c>
      <c r="L38" s="6">
        <f>Q27</f>
        <v>0</v>
      </c>
      <c r="M38" s="368"/>
      <c r="N38" s="369"/>
      <c r="O38" s="313"/>
      <c r="P38" s="370">
        <f ca="1">NOW()</f>
        <v>46322.414633101849</v>
      </c>
      <c r="Q38" s="372" t="s">
        <v>55</v>
      </c>
      <c r="R38" s="361">
        <f ca="1">I27</f>
        <v>46322.414633101849</v>
      </c>
      <c r="S38" s="362"/>
      <c r="T38" s="313"/>
    </row>
    <row r="39" spans="1:20" ht="15" customHeight="1">
      <c r="A39" s="17" t="s">
        <v>56</v>
      </c>
      <c r="B39" s="18" t="e">
        <f>B38/D24</f>
        <v>#DIV/0!</v>
      </c>
      <c r="C39" s="140"/>
      <c r="D39" s="141"/>
      <c r="F39" s="17" t="s">
        <v>56</v>
      </c>
      <c r="G39" s="18" t="e">
        <f>G38/I24</f>
        <v>#DIV/0!</v>
      </c>
      <c r="H39" s="161"/>
      <c r="I39" s="162"/>
      <c r="J39" s="312"/>
      <c r="K39" s="17" t="s">
        <v>50</v>
      </c>
      <c r="L39" s="18">
        <f>L38/16</f>
        <v>0</v>
      </c>
      <c r="M39" s="17" t="s">
        <v>51</v>
      </c>
      <c r="N39" s="18" t="e">
        <f>L39/N37</f>
        <v>#DIV/0!</v>
      </c>
      <c r="O39" s="313"/>
      <c r="P39" s="371"/>
      <c r="Q39" s="373"/>
      <c r="R39" s="363"/>
      <c r="S39" s="364"/>
      <c r="T39" s="326"/>
    </row>
    <row r="40" spans="1:20">
      <c r="A40" s="309"/>
      <c r="B40" s="310"/>
      <c r="C40" s="310"/>
      <c r="D40" s="311"/>
      <c r="F40" s="309"/>
      <c r="G40" s="310"/>
      <c r="H40" s="310"/>
      <c r="I40" s="311"/>
      <c r="J40" s="312"/>
      <c r="K40" s="309"/>
      <c r="L40" s="310"/>
      <c r="M40" s="310"/>
      <c r="N40" s="310"/>
      <c r="O40" s="313"/>
      <c r="P40" s="312"/>
      <c r="Q40" s="313"/>
      <c r="R40" s="313"/>
      <c r="S40" s="313"/>
      <c r="T40" s="314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49">
    <mergeCell ref="A40:D40"/>
    <mergeCell ref="A34:D34"/>
    <mergeCell ref="F29:I29"/>
    <mergeCell ref="P19:S19"/>
    <mergeCell ref="P10:S10"/>
    <mergeCell ref="A35:D35"/>
    <mergeCell ref="F35:I35"/>
    <mergeCell ref="F34:I34"/>
    <mergeCell ref="P35:Q35"/>
    <mergeCell ref="P36:Q36"/>
    <mergeCell ref="R31:S31"/>
    <mergeCell ref="R20:S20"/>
    <mergeCell ref="K1:N1"/>
    <mergeCell ref="R11:S11"/>
    <mergeCell ref="O1:O40"/>
    <mergeCell ref="P34:Q34"/>
    <mergeCell ref="P20:Q20"/>
    <mergeCell ref="P32:Q32"/>
    <mergeCell ref="P33:Q33"/>
    <mergeCell ref="P1:S1"/>
    <mergeCell ref="P37:Q37"/>
    <mergeCell ref="P38:P39"/>
    <mergeCell ref="Q38:Q39"/>
    <mergeCell ref="R7:S9"/>
    <mergeCell ref="P40:T40"/>
    <mergeCell ref="P30:S30"/>
    <mergeCell ref="T1:T39"/>
    <mergeCell ref="R38:S39"/>
    <mergeCell ref="A1:D1"/>
    <mergeCell ref="F1:I1"/>
    <mergeCell ref="A14:D14"/>
    <mergeCell ref="K40:N40"/>
    <mergeCell ref="K32:N32"/>
    <mergeCell ref="J1:J40"/>
    <mergeCell ref="H2:I3"/>
    <mergeCell ref="K35:N35"/>
    <mergeCell ref="M38:N38"/>
    <mergeCell ref="K36:N36"/>
    <mergeCell ref="F40:I40"/>
    <mergeCell ref="F28:I28"/>
    <mergeCell ref="M2:N3"/>
    <mergeCell ref="K31:N31"/>
    <mergeCell ref="A28:D28"/>
    <mergeCell ref="A29:D29"/>
    <mergeCell ref="R2:S3"/>
    <mergeCell ref="A15:D15"/>
    <mergeCell ref="F15:I15"/>
    <mergeCell ref="F14:I14"/>
    <mergeCell ref="K14:N14"/>
  </mergeCells>
  <conditionalFormatting sqref="S12:S17">
    <cfRule type="cellIs" dxfId="138" priority="24" operator="equal">
      <formula>$S$18</formula>
    </cfRule>
  </conditionalFormatting>
  <conditionalFormatting sqref="N17:N18">
    <cfRule type="cellIs" dxfId="137" priority="21" stopIfTrue="1" operator="greaterThan">
      <formula>$N$16</formula>
    </cfRule>
  </conditionalFormatting>
  <conditionalFormatting sqref="N15">
    <cfRule type="cellIs" dxfId="136" priority="20" operator="greaterThan">
      <formula>$N$17</formula>
    </cfRule>
  </conditionalFormatting>
  <conditionalFormatting sqref="N17">
    <cfRule type="cellIs" dxfId="135" priority="19" operator="lessThan">
      <formula>$N$16</formula>
    </cfRule>
  </conditionalFormatting>
  <conditionalFormatting sqref="N15">
    <cfRule type="cellIs" dxfId="134" priority="18" operator="equal">
      <formula>$N$17</formula>
    </cfRule>
  </conditionalFormatting>
  <conditionalFormatting sqref="N15">
    <cfRule type="cellIs" dxfId="133" priority="17" operator="lessThan">
      <formula>$N$17</formula>
    </cfRule>
  </conditionalFormatting>
  <conditionalFormatting sqref="N18">
    <cfRule type="cellIs" dxfId="132" priority="16" operator="lessThan">
      <formula>$N$16</formula>
    </cfRule>
  </conditionalFormatting>
  <conditionalFormatting sqref="N18">
    <cfRule type="cellIs" dxfId="131" priority="15" operator="equal">
      <formula>$N$17</formula>
    </cfRule>
  </conditionalFormatting>
  <conditionalFormatting sqref="N19">
    <cfRule type="containsErrors" dxfId="130" priority="14">
      <formula>ISERROR(N19)</formula>
    </cfRule>
  </conditionalFormatting>
  <conditionalFormatting sqref="L15">
    <cfRule type="containsText" dxfId="129" priority="13" operator="containsText" text="-">
      <formula>NOT(ISERROR(SEARCH("-",L15)))</formula>
    </cfRule>
  </conditionalFormatting>
  <conditionalFormatting sqref="L15">
    <cfRule type="notContainsText" dxfId="128" priority="12" operator="notContains" text="-">
      <formula>ISERROR(SEARCH("-",L15))</formula>
    </cfRule>
  </conditionalFormatting>
  <conditionalFormatting sqref="L15">
    <cfRule type="cellIs" dxfId="127" priority="11" operator="equal">
      <formula>0</formula>
    </cfRule>
  </conditionalFormatting>
  <conditionalFormatting sqref="N26">
    <cfRule type="containsText" dxfId="126" priority="9" operator="containsText" text="-">
      <formula>NOT(ISERROR(SEARCH("-",N26)))</formula>
    </cfRule>
    <cfRule type="cellIs" dxfId="125" priority="10" operator="greaterThan">
      <formula>0</formula>
    </cfRule>
  </conditionalFormatting>
  <conditionalFormatting sqref="N25">
    <cfRule type="containsText" dxfId="124" priority="7" operator="containsText" text="-">
      <formula>NOT(ISERROR(SEARCH("-",N25)))</formula>
    </cfRule>
  </conditionalFormatting>
  <conditionalFormatting sqref="N25">
    <cfRule type="cellIs" dxfId="123" priority="8" operator="greaterThan">
      <formula>0</formula>
    </cfRule>
  </conditionalFormatting>
  <conditionalFormatting sqref="L15">
    <cfRule type="containsErrors" dxfId="122" priority="6">
      <formula>ISERROR(L15)</formula>
    </cfRule>
  </conditionalFormatting>
  <conditionalFormatting sqref="N25">
    <cfRule type="containsText" dxfId="121" priority="5" operator="containsText" text="0:00">
      <formula>NOT(ISERROR(SEARCH("0:00",N25)))</formula>
    </cfRule>
  </conditionalFormatting>
  <conditionalFormatting sqref="N26">
    <cfRule type="containsText" dxfId="120" priority="4" operator="containsText" text="0:00">
      <formula>NOT(ISERROR(SEARCH("0:00",N26)))</formula>
    </cfRule>
  </conditionalFormatting>
  <conditionalFormatting sqref="N27">
    <cfRule type="cellIs" dxfId="119" priority="3" operator="greaterThan">
      <formula>0</formula>
    </cfRule>
  </conditionalFormatting>
  <conditionalFormatting sqref="N27">
    <cfRule type="cellIs" dxfId="118" priority="2" operator="equal">
      <formula>0</formula>
    </cfRule>
  </conditionalFormatting>
  <conditionalFormatting sqref="N27">
    <cfRule type="containsText" dxfId="117" priority="1" operator="containsText" text="-">
      <formula>NOT(ISERROR(SEARCH("-",N27)))</formula>
    </cfRule>
  </conditionalFormatting>
  <conditionalFormatting sqref="N29">
    <cfRule type="cellIs" dxfId="116" priority="22" operator="greaterThan">
      <formula>$N$28</formula>
    </cfRule>
  </conditionalFormatting>
  <conditionalFormatting sqref="N29">
    <cfRule type="cellIs" dxfId="115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43F2-EFBF-4316-8678-E634894A97C0}">
  <sheetPr>
    <tabColor rgb="FF00B0F0"/>
  </sheetPr>
  <dimension ref="A1:T65"/>
  <sheetViews>
    <sheetView showGridLines="0" showRowColHeaders="0" workbookViewId="0">
      <selection activeCell="Q24" sqref="Q24"/>
    </sheetView>
  </sheetViews>
  <sheetFormatPr defaultRowHeight="15"/>
  <cols>
    <col min="1" max="1" width="25.28515625" customWidth="1"/>
    <col min="2" max="2" width="10.42578125" customWidth="1"/>
    <col min="3" max="3" width="19.85546875" customWidth="1"/>
    <col min="4" max="4" width="23" customWidth="1"/>
    <col min="5" max="5" width="2.7109375" customWidth="1"/>
    <col min="6" max="6" width="25.28515625" customWidth="1"/>
    <col min="7" max="7" width="10.42578125" customWidth="1"/>
    <col min="8" max="8" width="19.85546875" customWidth="1"/>
    <col min="9" max="9" width="23" customWidth="1"/>
    <col min="10" max="10" width="2.7109375" customWidth="1"/>
    <col min="11" max="11" width="25.28515625" customWidth="1"/>
    <col min="12" max="12" width="10.42578125" customWidth="1"/>
    <col min="13" max="13" width="19.85546875" customWidth="1"/>
    <col min="14" max="14" width="23" customWidth="1"/>
    <col min="15" max="15" width="2.7109375" customWidth="1"/>
    <col min="16" max="16" width="25.28515625" customWidth="1"/>
    <col min="17" max="17" width="10.42578125" customWidth="1"/>
    <col min="18" max="18" width="19.85546875" customWidth="1"/>
    <col min="19" max="19" width="23" customWidth="1"/>
    <col min="20" max="20" width="2.7109375" customWidth="1"/>
  </cols>
  <sheetData>
    <row r="1" spans="1:20">
      <c r="A1" s="374" t="s">
        <v>1</v>
      </c>
      <c r="B1" s="374"/>
      <c r="C1" s="374"/>
      <c r="D1" s="374"/>
      <c r="E1" s="2"/>
      <c r="F1" s="375" t="s">
        <v>0</v>
      </c>
      <c r="G1" s="375"/>
      <c r="H1" s="375"/>
      <c r="I1" s="375"/>
      <c r="J1" s="2"/>
      <c r="K1" s="376" t="s">
        <v>2</v>
      </c>
      <c r="L1" s="376"/>
      <c r="M1" s="376"/>
      <c r="N1" s="376"/>
      <c r="O1" s="2"/>
      <c r="P1" s="381" t="s">
        <v>3</v>
      </c>
      <c r="Q1" s="381"/>
      <c r="R1" s="381"/>
      <c r="S1" s="381"/>
      <c r="T1" s="2"/>
    </row>
    <row r="2" spans="1:20">
      <c r="A2" s="11" t="s">
        <v>4</v>
      </c>
      <c r="B2" s="6">
        <f>Q19</f>
        <v>5065</v>
      </c>
      <c r="C2" s="377"/>
      <c r="D2" s="377"/>
      <c r="E2" s="2"/>
      <c r="F2" s="11" t="s">
        <v>4</v>
      </c>
      <c r="G2" s="6">
        <f>Q20</f>
        <v>997</v>
      </c>
      <c r="H2" s="396"/>
      <c r="I2" s="396"/>
      <c r="J2" s="2"/>
      <c r="K2" s="6" t="s">
        <v>4</v>
      </c>
      <c r="L2" s="6">
        <f>Q21</f>
        <v>440</v>
      </c>
      <c r="M2" s="377"/>
      <c r="N2" s="377"/>
      <c r="O2" s="2"/>
      <c r="P2" s="6" t="s">
        <v>4</v>
      </c>
      <c r="Q2" s="6">
        <f>Q24</f>
        <v>0</v>
      </c>
      <c r="R2" s="377"/>
      <c r="S2" s="377"/>
      <c r="T2" s="2"/>
    </row>
    <row r="3" spans="1:20">
      <c r="A3" s="11" t="s">
        <v>5</v>
      </c>
      <c r="B3" s="6">
        <f>'Keräysteho kplh'!B2</f>
        <v>178</v>
      </c>
      <c r="C3" s="377"/>
      <c r="D3" s="377"/>
      <c r="E3" s="2"/>
      <c r="F3" s="11" t="s">
        <v>5</v>
      </c>
      <c r="G3" s="6">
        <f>'Keräysteho kplh'!B3</f>
        <v>74</v>
      </c>
      <c r="H3" s="396"/>
      <c r="I3" s="396"/>
      <c r="J3" s="2"/>
      <c r="K3" s="6" t="s">
        <v>5</v>
      </c>
      <c r="L3" s="6">
        <f>'Keräysteho kplh'!B4</f>
        <v>117</v>
      </c>
      <c r="M3" s="377"/>
      <c r="N3" s="377"/>
      <c r="O3" s="2"/>
      <c r="P3" s="6" t="s">
        <v>5</v>
      </c>
      <c r="Q3" s="6">
        <f>'Keräysteho kplh'!B7</f>
        <v>30</v>
      </c>
      <c r="R3" s="377"/>
      <c r="S3" s="377"/>
      <c r="T3" s="2"/>
    </row>
    <row r="4" spans="1:20">
      <c r="A4" s="7"/>
      <c r="B4" s="7"/>
      <c r="C4" s="377"/>
      <c r="D4" s="377"/>
      <c r="E4" s="2"/>
      <c r="F4" s="382"/>
      <c r="G4" s="382"/>
      <c r="H4" s="396"/>
      <c r="I4" s="396"/>
      <c r="J4" s="2"/>
      <c r="K4" s="382"/>
      <c r="L4" s="382"/>
      <c r="M4" s="377"/>
      <c r="N4" s="377"/>
      <c r="O4" s="2"/>
      <c r="P4" s="382"/>
      <c r="Q4" s="382"/>
      <c r="R4" s="377"/>
      <c r="S4" s="377"/>
      <c r="T4" s="2"/>
    </row>
    <row r="5" spans="1:20">
      <c r="A5" s="11" t="s">
        <v>6</v>
      </c>
      <c r="B5" s="80"/>
      <c r="C5" s="11" t="s">
        <v>8</v>
      </c>
      <c r="D5" s="11" t="s">
        <v>9</v>
      </c>
      <c r="E5" s="5"/>
      <c r="F5" s="11" t="s">
        <v>6</v>
      </c>
      <c r="G5" s="80"/>
      <c r="H5" s="11" t="s">
        <v>8</v>
      </c>
      <c r="I5" s="11" t="s">
        <v>9</v>
      </c>
      <c r="J5" s="5"/>
      <c r="K5" s="11" t="s">
        <v>6</v>
      </c>
      <c r="L5" s="80"/>
      <c r="M5" s="11" t="s">
        <v>8</v>
      </c>
      <c r="N5" s="11" t="s">
        <v>9</v>
      </c>
      <c r="O5" s="2"/>
      <c r="P5" s="11" t="s">
        <v>6</v>
      </c>
      <c r="Q5" s="80"/>
      <c r="R5" s="11" t="s">
        <v>8</v>
      </c>
      <c r="S5" s="11" t="s">
        <v>9</v>
      </c>
      <c r="T5" s="2"/>
    </row>
    <row r="6" spans="1:20">
      <c r="A6" s="66">
        <f ca="1">TODAY()+TIME(12,0,0)</f>
        <v>46322.5</v>
      </c>
      <c r="B6" s="65">
        <v>1</v>
      </c>
      <c r="C6" s="73">
        <f ca="1">A6-B11</f>
        <v>8.5366898150823545E-2</v>
      </c>
      <c r="D6" s="9">
        <f ca="1">B6*C6</f>
        <v>8.5366898150823545E-2</v>
      </c>
      <c r="E6" s="3"/>
      <c r="F6" s="66">
        <f ca="1">TODAY()+TIME(12,0,0)</f>
        <v>46322.5</v>
      </c>
      <c r="G6" s="65">
        <v>3</v>
      </c>
      <c r="H6" s="73">
        <f ca="1">F6-G11</f>
        <v>8.5366898150823545E-2</v>
      </c>
      <c r="I6" s="9">
        <f ca="1">G6*H6</f>
        <v>0.25610069445247063</v>
      </c>
      <c r="J6" s="3"/>
      <c r="K6" s="66">
        <f ca="1">TODAY()+TIME(12,0,0)</f>
        <v>46322.5</v>
      </c>
      <c r="L6" s="65">
        <v>0</v>
      </c>
      <c r="M6" s="73">
        <f ca="1">K6-L11</f>
        <v>8.5366898150823545E-2</v>
      </c>
      <c r="N6" s="9">
        <f ca="1">L6*M6</f>
        <v>0</v>
      </c>
      <c r="O6" s="4"/>
      <c r="P6" s="66">
        <f ca="1">TODAY()+TIME(12,0,0)</f>
        <v>46322.5</v>
      </c>
      <c r="Q6" s="65">
        <v>2</v>
      </c>
      <c r="R6" s="73">
        <f ca="1">P6-Q11</f>
        <v>8.5366898150823545E-2</v>
      </c>
      <c r="S6" s="9">
        <f ca="1">Q6*R6</f>
        <v>0.17073379630164709</v>
      </c>
      <c r="T6" s="2"/>
    </row>
    <row r="7" spans="1:20">
      <c r="A7" s="66">
        <f ca="1">TODAY()+TIME(13,0,0)</f>
        <v>46322.541666666664</v>
      </c>
      <c r="B7" s="65">
        <v>6</v>
      </c>
      <c r="C7" s="73">
        <f ca="1">A7-B11</f>
        <v>0.12703356481506489</v>
      </c>
      <c r="D7" s="9">
        <f ca="1">B7*C7</f>
        <v>0.76220138889038935</v>
      </c>
      <c r="E7" s="3"/>
      <c r="F7" s="66">
        <f ca="1">TODAY()+TIME(13,0,0)</f>
        <v>46322.541666666664</v>
      </c>
      <c r="G7" s="65">
        <v>8</v>
      </c>
      <c r="H7" s="73">
        <f ca="1">F7-G11</f>
        <v>0.12703356481506489</v>
      </c>
      <c r="I7" s="9">
        <f ca="1">G7*H7</f>
        <v>1.0162685185205191</v>
      </c>
      <c r="J7" s="3"/>
      <c r="K7" s="66">
        <f ca="1">TODAY()+TIME(13,0,0)</f>
        <v>46322.541666666664</v>
      </c>
      <c r="L7" s="65">
        <v>3</v>
      </c>
      <c r="M7" s="73">
        <f ca="1">K7-L11</f>
        <v>0.12703356481506489</v>
      </c>
      <c r="N7" s="9">
        <f ca="1">L7*M7</f>
        <v>0.38110069444519468</v>
      </c>
      <c r="O7" s="4"/>
      <c r="P7" s="66">
        <f ca="1">TODAY()+TIME(13,0,0)</f>
        <v>46322.541666666664</v>
      </c>
      <c r="Q7" s="65">
        <v>0</v>
      </c>
      <c r="R7" s="73">
        <f ca="1">P7-Q11</f>
        <v>0.12703356481506489</v>
      </c>
      <c r="S7" s="9">
        <f ca="1">Q7*R7</f>
        <v>0</v>
      </c>
      <c r="T7" s="2"/>
    </row>
    <row r="8" spans="1:20">
      <c r="A8" s="66">
        <f ca="1">TODAY()+TIME(14,0,0)</f>
        <v>46322.583333333336</v>
      </c>
      <c r="B8" s="65">
        <v>0</v>
      </c>
      <c r="C8" s="73">
        <f ca="1">A8-B11</f>
        <v>0.1687002314865822</v>
      </c>
      <c r="D8" s="9">
        <f ca="1">B8*C8</f>
        <v>0</v>
      </c>
      <c r="E8" s="3"/>
      <c r="F8" s="66">
        <f ca="1">TODAY()+TIME(14,0,0)</f>
        <v>46322.583333333336</v>
      </c>
      <c r="G8" s="65">
        <v>1</v>
      </c>
      <c r="H8" s="73">
        <f ca="1">F8-G11</f>
        <v>0.1687002314865822</v>
      </c>
      <c r="I8" s="9">
        <f ca="1">G8*H8</f>
        <v>0.1687002314865822</v>
      </c>
      <c r="J8" s="3"/>
      <c r="K8" s="66">
        <f ca="1">TODAY()+TIME(14,0,0)</f>
        <v>46322.583333333336</v>
      </c>
      <c r="L8" s="65">
        <v>0</v>
      </c>
      <c r="M8" s="73">
        <f ca="1">K8-L11</f>
        <v>0.1687002314865822</v>
      </c>
      <c r="N8" s="9">
        <f ca="1">L8*M8</f>
        <v>0</v>
      </c>
      <c r="O8" s="4"/>
      <c r="P8" s="66">
        <f ca="1">TODAY()+TIME(14,0,0)</f>
        <v>46322.583333333336</v>
      </c>
      <c r="Q8" s="65">
        <v>0</v>
      </c>
      <c r="R8" s="73">
        <f ca="1">P8-Q11</f>
        <v>0.1687002314865822</v>
      </c>
      <c r="S8" s="9">
        <f ca="1">Q8*R8</f>
        <v>0</v>
      </c>
      <c r="T8" s="2"/>
    </row>
    <row r="9" spans="1:20">
      <c r="A9" s="66">
        <f ca="1">TODAY()+TIME(15,0,0)</f>
        <v>46322.625</v>
      </c>
      <c r="B9" s="65">
        <v>4</v>
      </c>
      <c r="C9" s="73">
        <f ca="1">A9-B11</f>
        <v>0.21036689815082354</v>
      </c>
      <c r="D9" s="9">
        <f ca="1">B9*C9</f>
        <v>0.84146759260329418</v>
      </c>
      <c r="E9" s="3"/>
      <c r="F9" s="66">
        <f ca="1">TODAY()+TIME(15,0,0)</f>
        <v>46322.625</v>
      </c>
      <c r="G9" s="65">
        <v>0</v>
      </c>
      <c r="H9" s="73">
        <f ca="1">F9-G11</f>
        <v>0.21036689815082354</v>
      </c>
      <c r="I9" s="9">
        <f ca="1">G9*H9</f>
        <v>0</v>
      </c>
      <c r="J9" s="3"/>
      <c r="K9" s="66">
        <f ca="1">TODAY()+TIME(15,0,0)</f>
        <v>46322.625</v>
      </c>
      <c r="L9" s="65">
        <v>1</v>
      </c>
      <c r="M9" s="73">
        <f ca="1">K9-L11</f>
        <v>0.21036689815082354</v>
      </c>
      <c r="N9" s="9">
        <f ca="1">L9*M9</f>
        <v>0.21036689815082354</v>
      </c>
      <c r="O9" s="4"/>
      <c r="P9" s="66">
        <f ca="1">TODAY()+TIME(15,0,0)</f>
        <v>46322.625</v>
      </c>
      <c r="Q9" s="65">
        <v>0</v>
      </c>
      <c r="R9" s="73">
        <f ca="1">P9-Q11</f>
        <v>0.21036689815082354</v>
      </c>
      <c r="S9" s="9">
        <f ca="1">Q9*R9</f>
        <v>0</v>
      </c>
      <c r="T9" s="2"/>
    </row>
    <row r="10" spans="1:20">
      <c r="A10" s="377"/>
      <c r="B10" s="394"/>
      <c r="C10" s="395"/>
      <c r="D10" s="395"/>
      <c r="E10" s="3"/>
      <c r="F10" s="377"/>
      <c r="G10" s="394"/>
      <c r="H10" s="377"/>
      <c r="I10" s="377"/>
      <c r="J10" s="3"/>
      <c r="K10" s="377"/>
      <c r="L10" s="394"/>
      <c r="M10" s="377"/>
      <c r="N10" s="377"/>
      <c r="O10" s="2"/>
      <c r="P10" s="377"/>
      <c r="Q10" s="394"/>
      <c r="R10" s="377"/>
      <c r="S10" s="377"/>
      <c r="T10" s="2"/>
    </row>
    <row r="11" spans="1:20">
      <c r="A11" s="11" t="s">
        <v>17</v>
      </c>
      <c r="B11" s="8">
        <f ca="1">NOW()</f>
        <v>46322.414633101849</v>
      </c>
      <c r="C11" s="395"/>
      <c r="D11" s="395"/>
      <c r="E11" s="2"/>
      <c r="F11" s="11" t="s">
        <v>17</v>
      </c>
      <c r="G11" s="8">
        <f ca="1">NOW()</f>
        <v>46322.414633101849</v>
      </c>
      <c r="H11" s="377"/>
      <c r="I11" s="377"/>
      <c r="J11" s="2"/>
      <c r="K11" s="11" t="s">
        <v>17</v>
      </c>
      <c r="L11" s="8">
        <f ca="1">NOW()</f>
        <v>46322.414633101849</v>
      </c>
      <c r="M11" s="377"/>
      <c r="N11" s="377"/>
      <c r="O11" s="2"/>
      <c r="P11" s="11" t="s">
        <v>17</v>
      </c>
      <c r="Q11" s="8">
        <f ca="1">NOW()</f>
        <v>46322.414633101849</v>
      </c>
      <c r="R11" s="377"/>
      <c r="S11" s="377"/>
      <c r="T11" s="2"/>
    </row>
    <row r="12" spans="1:20">
      <c r="A12" s="377"/>
      <c r="B12" s="377"/>
      <c r="C12" s="395"/>
      <c r="D12" s="395"/>
      <c r="E12" s="2"/>
      <c r="F12" s="368"/>
      <c r="G12" s="369"/>
      <c r="H12" s="377"/>
      <c r="I12" s="377"/>
      <c r="J12" s="2"/>
      <c r="K12" s="382"/>
      <c r="L12" s="382"/>
      <c r="M12" s="377"/>
      <c r="N12" s="377"/>
      <c r="O12" s="2"/>
      <c r="P12" s="382"/>
      <c r="Q12" s="382"/>
      <c r="R12" s="377"/>
      <c r="S12" s="377"/>
      <c r="T12" s="2"/>
    </row>
    <row r="13" spans="1:20">
      <c r="A13" s="11" t="s">
        <v>10</v>
      </c>
      <c r="B13" s="9">
        <f ca="1">(B6*C6)+(B7*C7)+(B8*C8)+(B9*C9)</f>
        <v>1.6890358796445071</v>
      </c>
      <c r="C13" s="11" t="s">
        <v>11</v>
      </c>
      <c r="D13" s="6">
        <f>B9+B8+B7+B6</f>
        <v>11</v>
      </c>
      <c r="E13" s="2"/>
      <c r="F13" s="11" t="s">
        <v>10</v>
      </c>
      <c r="G13" s="9">
        <f ca="1">(H9*G9)+(H8*G8)+(H7*G7)+(H6*G6)</f>
        <v>1.441069444459572</v>
      </c>
      <c r="H13" s="11" t="s">
        <v>11</v>
      </c>
      <c r="I13" s="6">
        <f>G9+G8+G7+G6</f>
        <v>12</v>
      </c>
      <c r="J13" s="2"/>
      <c r="K13" s="11" t="s">
        <v>10</v>
      </c>
      <c r="L13" s="9">
        <f ca="1">N9+N8+N7+N6</f>
        <v>0.59146759259601822</v>
      </c>
      <c r="M13" s="11" t="s">
        <v>11</v>
      </c>
      <c r="N13" s="6">
        <f>L9+L8+L7+L6</f>
        <v>4</v>
      </c>
      <c r="O13" s="2"/>
      <c r="P13" s="11" t="s">
        <v>10</v>
      </c>
      <c r="Q13" s="9">
        <f ca="1">S9+S8+S7+S6</f>
        <v>0.17073379630164709</v>
      </c>
      <c r="R13" s="11" t="s">
        <v>11</v>
      </c>
      <c r="S13" s="6">
        <f>Q9+Q8+Q7+Q6</f>
        <v>2</v>
      </c>
      <c r="T13" s="2"/>
    </row>
    <row r="14" spans="1:20">
      <c r="A14" s="11" t="s">
        <v>12</v>
      </c>
      <c r="B14" s="10">
        <f>B2/(B6+B7+B8+B9)</f>
        <v>460.45454545454544</v>
      </c>
      <c r="C14" s="377"/>
      <c r="D14" s="377"/>
      <c r="E14" s="2"/>
      <c r="F14" s="11" t="s">
        <v>12</v>
      </c>
      <c r="G14" s="10">
        <f>G2/(G6+G7+G8+G9)</f>
        <v>83.083333333333329</v>
      </c>
      <c r="H14" s="377"/>
      <c r="I14" s="377"/>
      <c r="J14" s="2"/>
      <c r="K14" s="11" t="s">
        <v>12</v>
      </c>
      <c r="L14" s="10">
        <f>L2/(L6+L7+L8+L9)</f>
        <v>110</v>
      </c>
      <c r="M14" s="377"/>
      <c r="N14" s="377"/>
      <c r="O14" s="2"/>
      <c r="P14" s="11" t="s">
        <v>12</v>
      </c>
      <c r="Q14" s="10">
        <f>Q2/(Q6+Q7+Q8+Q9)</f>
        <v>0</v>
      </c>
      <c r="R14" s="377"/>
      <c r="S14" s="377"/>
      <c r="T14" s="2"/>
    </row>
    <row r="15" spans="1:20">
      <c r="A15" s="11" t="s">
        <v>13</v>
      </c>
      <c r="B15" s="9">
        <f>B2/(B3*(B6+B7+B8+B9))/24</f>
        <v>0.10778430371127</v>
      </c>
      <c r="C15" s="377"/>
      <c r="D15" s="377"/>
      <c r="E15" s="2"/>
      <c r="F15" s="11" t="s">
        <v>13</v>
      </c>
      <c r="G15" s="9">
        <f>G2/(G3*(G6+G7+G8+G9))/24</f>
        <v>4.6781156156156155E-2</v>
      </c>
      <c r="H15" s="377"/>
      <c r="I15" s="377"/>
      <c r="J15" s="2"/>
      <c r="K15" s="11" t="s">
        <v>13</v>
      </c>
      <c r="L15" s="9">
        <f>L2/(L3*(L6+L7+L8+L9))/24</f>
        <v>3.9173789173789171E-2</v>
      </c>
      <c r="M15" s="377"/>
      <c r="N15" s="377"/>
      <c r="O15" s="2"/>
      <c r="P15" s="11" t="s">
        <v>13</v>
      </c>
      <c r="Q15" s="9">
        <f>Q2/(Q3*(Q6+Q7+Q8+Q9))/24</f>
        <v>0</v>
      </c>
      <c r="R15" s="377"/>
      <c r="S15" s="377"/>
      <c r="T15" s="2"/>
    </row>
    <row r="16" spans="1:20">
      <c r="A16" s="11" t="s">
        <v>14</v>
      </c>
      <c r="B16" s="8">
        <f ca="1">B11+B15</f>
        <v>46322.522417405562</v>
      </c>
      <c r="C16" s="377"/>
      <c r="D16" s="377"/>
      <c r="E16" s="2"/>
      <c r="F16" s="11" t="s">
        <v>14</v>
      </c>
      <c r="G16" s="8">
        <f ca="1">G11+G15</f>
        <v>46322.461414258003</v>
      </c>
      <c r="H16" s="377"/>
      <c r="I16" s="377"/>
      <c r="J16" s="2"/>
      <c r="K16" s="11" t="s">
        <v>14</v>
      </c>
      <c r="L16" s="8">
        <f ca="1">L11+L15</f>
        <v>46322.453806891026</v>
      </c>
      <c r="M16" s="377"/>
      <c r="N16" s="377"/>
      <c r="O16" s="2"/>
      <c r="P16" s="11" t="s">
        <v>14</v>
      </c>
      <c r="Q16" s="8">
        <f ca="1">Q11+Q15</f>
        <v>46322.414633101849</v>
      </c>
      <c r="R16" s="377"/>
      <c r="S16" s="377"/>
      <c r="T16" s="2"/>
    </row>
    <row r="17" spans="1:20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9"/>
      <c r="O17" s="2"/>
      <c r="P17" s="41"/>
      <c r="Q17" s="2"/>
      <c r="R17" s="2"/>
      <c r="S17" s="2"/>
      <c r="T17" s="2"/>
    </row>
    <row r="18" spans="1:20">
      <c r="A18" s="379" t="s">
        <v>18</v>
      </c>
      <c r="B18" s="379"/>
      <c r="C18" s="379"/>
      <c r="D18" s="379"/>
      <c r="E18" s="2"/>
      <c r="F18" s="380" t="s">
        <v>19</v>
      </c>
      <c r="G18" s="380"/>
      <c r="H18" s="380"/>
      <c r="I18" s="380"/>
      <c r="J18" s="2"/>
      <c r="K18" s="103" t="s">
        <v>28</v>
      </c>
      <c r="L18" s="103"/>
      <c r="M18" s="103"/>
      <c r="N18" s="104"/>
      <c r="O18" s="2"/>
      <c r="P18" s="388" t="s">
        <v>15</v>
      </c>
      <c r="Q18" s="389"/>
      <c r="R18" s="384" t="s">
        <v>16</v>
      </c>
      <c r="S18" s="384"/>
      <c r="T18" s="2"/>
    </row>
    <row r="19" spans="1:20">
      <c r="A19" s="11" t="s">
        <v>4</v>
      </c>
      <c r="B19" s="6">
        <f>Q22</f>
        <v>2615</v>
      </c>
      <c r="C19" s="377"/>
      <c r="D19" s="377"/>
      <c r="E19" s="2"/>
      <c r="F19" s="11" t="s">
        <v>4</v>
      </c>
      <c r="G19" s="6">
        <f>Q23</f>
        <v>1750</v>
      </c>
      <c r="H19" s="377"/>
      <c r="I19" s="377"/>
      <c r="J19" s="2"/>
      <c r="K19" s="86" t="s">
        <v>20</v>
      </c>
      <c r="L19" s="87">
        <f ca="1">((N21-N20)/L20)/24</f>
        <v>-1.794721278121761</v>
      </c>
      <c r="M19" s="86" t="s">
        <v>21</v>
      </c>
      <c r="N19" s="88">
        <f ca="1">N20+($L$20*L21)</f>
        <v>18003.844889081956</v>
      </c>
      <c r="O19" s="2"/>
      <c r="P19" s="67" t="s">
        <v>1</v>
      </c>
      <c r="Q19" s="65">
        <v>5065</v>
      </c>
      <c r="R19" s="58" t="s">
        <v>1</v>
      </c>
      <c r="S19" s="20">
        <f ca="1">B16</f>
        <v>46322.522417405562</v>
      </c>
      <c r="T19" s="2"/>
    </row>
    <row r="20" spans="1:20">
      <c r="A20" s="11" t="s">
        <v>5</v>
      </c>
      <c r="B20" s="6">
        <f>'Keräysteho kplh'!B5</f>
        <v>438</v>
      </c>
      <c r="C20" s="377"/>
      <c r="D20" s="377"/>
      <c r="E20" s="2"/>
      <c r="F20" s="11" t="s">
        <v>5</v>
      </c>
      <c r="G20" s="6">
        <f>'Keräysteho kplh'!B6</f>
        <v>400</v>
      </c>
      <c r="H20" s="377"/>
      <c r="I20" s="377"/>
      <c r="J20" s="2"/>
      <c r="K20" s="12" t="s">
        <v>5</v>
      </c>
      <c r="L20" s="90">
        <f ca="1">(B3*B13+G3*G13+L3*L13+Q3*Q13+B20*B30+G20*G30)/
(B13+G13+L13+Q13+B30+G30)</f>
        <v>165.6906510610317</v>
      </c>
      <c r="M20" s="86" t="s">
        <v>23</v>
      </c>
      <c r="N20" s="89">
        <f ca="1">L20*L30*24</f>
        <v>18003.844889081956</v>
      </c>
      <c r="O20" s="2"/>
      <c r="P20" s="68" t="s">
        <v>0</v>
      </c>
      <c r="Q20" s="65">
        <v>997</v>
      </c>
      <c r="R20" s="59" t="s">
        <v>0</v>
      </c>
      <c r="S20" s="20">
        <f ca="1">G16</f>
        <v>46322.461414258003</v>
      </c>
      <c r="T20" s="2"/>
    </row>
    <row r="21" spans="1:20">
      <c r="A21" s="382"/>
      <c r="B21" s="382"/>
      <c r="C21" s="377"/>
      <c r="D21" s="377"/>
      <c r="E21" s="2"/>
      <c r="F21" s="6"/>
      <c r="G21" s="7"/>
      <c r="H21" s="377"/>
      <c r="I21" s="377"/>
      <c r="J21" s="2"/>
      <c r="K21" s="86" t="s">
        <v>24</v>
      </c>
      <c r="L21" s="91">
        <v>0</v>
      </c>
      <c r="M21" s="12" t="s">
        <v>4</v>
      </c>
      <c r="N21" s="13">
        <f>B2+G2+L2+Q2+B19+G19</f>
        <v>10867</v>
      </c>
      <c r="O21" s="2"/>
      <c r="P21" s="69" t="s">
        <v>2</v>
      </c>
      <c r="Q21" s="65">
        <v>440</v>
      </c>
      <c r="R21" s="60" t="s">
        <v>2</v>
      </c>
      <c r="S21" s="20">
        <f ca="1">L16</f>
        <v>46322.453806891026</v>
      </c>
      <c r="T21" s="2"/>
    </row>
    <row r="22" spans="1:20">
      <c r="A22" s="11" t="s">
        <v>6</v>
      </c>
      <c r="B22" s="80"/>
      <c r="C22" s="11" t="s">
        <v>8</v>
      </c>
      <c r="D22" s="11" t="s">
        <v>9</v>
      </c>
      <c r="E22" s="5"/>
      <c r="F22" s="11" t="s">
        <v>6</v>
      </c>
      <c r="G22" s="80"/>
      <c r="H22" s="11" t="s">
        <v>8</v>
      </c>
      <c r="I22" s="11" t="s">
        <v>9</v>
      </c>
      <c r="J22" s="5"/>
      <c r="K22" s="12" t="s">
        <v>6</v>
      </c>
      <c r="L22" s="12" t="s">
        <v>7</v>
      </c>
      <c r="M22" s="12" t="s">
        <v>8</v>
      </c>
      <c r="N22" s="53" t="s">
        <v>9</v>
      </c>
      <c r="O22" s="2"/>
      <c r="P22" s="70" t="s">
        <v>18</v>
      </c>
      <c r="Q22" s="65">
        <v>2615</v>
      </c>
      <c r="R22" s="61" t="s">
        <v>18</v>
      </c>
      <c r="S22" s="20">
        <f ca="1">B33</f>
        <v>46322.49755420789</v>
      </c>
      <c r="T22" s="2">
        <v>47</v>
      </c>
    </row>
    <row r="23" spans="1:20">
      <c r="A23" s="66">
        <f ca="1">TODAY()+TIME(12,0,0)</f>
        <v>46322.5</v>
      </c>
      <c r="B23" s="65">
        <v>1</v>
      </c>
      <c r="C23" s="73">
        <f ca="1">A23-B28</f>
        <v>8.5366898150823545E-2</v>
      </c>
      <c r="D23" s="9">
        <f ca="1">B23*C23</f>
        <v>8.5366898150823545E-2</v>
      </c>
      <c r="E23" s="2"/>
      <c r="F23" s="66">
        <f ca="1">TODAY()+TIME(12,0,0)</f>
        <v>46322.5</v>
      </c>
      <c r="G23" s="65">
        <v>0</v>
      </c>
      <c r="H23" s="73">
        <f ca="1">F23-G28</f>
        <v>8.5366898150823545E-2</v>
      </c>
      <c r="I23" s="9">
        <f ca="1">G23*H23</f>
        <v>0</v>
      </c>
      <c r="J23" s="2"/>
      <c r="K23" s="14">
        <f ca="1">TODAY()+TIME(12,0,0)</f>
        <v>46322.5</v>
      </c>
      <c r="L23" s="13">
        <f>G23+B23+B6+G6+L6+Q6</f>
        <v>7</v>
      </c>
      <c r="M23" s="15">
        <f ca="1">K23-L28</f>
        <v>8.5366898150823545E-2</v>
      </c>
      <c r="N23" s="54">
        <f ca="1">L23*M23</f>
        <v>0.59756828705576481</v>
      </c>
      <c r="O23" s="2"/>
      <c r="P23" s="71" t="s">
        <v>19</v>
      </c>
      <c r="Q23" s="65">
        <v>1750</v>
      </c>
      <c r="R23" s="62" t="s">
        <v>19</v>
      </c>
      <c r="S23" s="20">
        <f ca="1">G33</f>
        <v>46322.505778935185</v>
      </c>
      <c r="T23" s="2"/>
    </row>
    <row r="24" spans="1:20">
      <c r="A24" s="66">
        <f ca="1">TODAY()+TIME(13,0,0)</f>
        <v>46322.541666666664</v>
      </c>
      <c r="B24" s="65">
        <v>1</v>
      </c>
      <c r="C24" s="73">
        <f ca="1">A24-B28</f>
        <v>0.12703356481506489</v>
      </c>
      <c r="D24" s="9">
        <f ca="1">B24*C24</f>
        <v>0.12703356481506489</v>
      </c>
      <c r="E24" s="2"/>
      <c r="F24" s="66">
        <f ca="1">TODAY()+TIME(13,0,0)</f>
        <v>46322.541666666664</v>
      </c>
      <c r="G24" s="65">
        <v>2</v>
      </c>
      <c r="H24" s="73">
        <f ca="1">F24-G28</f>
        <v>0.12703356481506489</v>
      </c>
      <c r="I24" s="9">
        <f ca="1">G24*H24</f>
        <v>0.25406712963012978</v>
      </c>
      <c r="J24" s="2"/>
      <c r="K24" s="14">
        <f ca="1">TODAY()+TIME(13,0,0)</f>
        <v>46322.541666666664</v>
      </c>
      <c r="L24" s="13">
        <f>G24+B24+B7+G7+L7+Q7</f>
        <v>20</v>
      </c>
      <c r="M24" s="15">
        <f ca="1">K24-L28</f>
        <v>0.12703356481506489</v>
      </c>
      <c r="N24" s="54">
        <f ca="1">L24*M24</f>
        <v>2.5406712963012978</v>
      </c>
      <c r="O24" s="2"/>
      <c r="P24" s="72" t="s">
        <v>3</v>
      </c>
      <c r="Q24" s="65">
        <v>0</v>
      </c>
      <c r="R24" s="63" t="s">
        <v>3</v>
      </c>
      <c r="S24" s="8">
        <f ca="1">Q16</f>
        <v>46322.414633101849</v>
      </c>
      <c r="T24" s="2"/>
    </row>
    <row r="25" spans="1:20">
      <c r="A25" s="66">
        <f ca="1">TODAY()+TIME(14,0,0)</f>
        <v>46322.583333333336</v>
      </c>
      <c r="B25" s="65">
        <v>1</v>
      </c>
      <c r="C25" s="73">
        <f ca="1">A25-B28</f>
        <v>0.1687002314865822</v>
      </c>
      <c r="D25" s="9">
        <f ca="1">B25*C25</f>
        <v>0.1687002314865822</v>
      </c>
      <c r="E25" s="2"/>
      <c r="F25" s="66">
        <f ca="1">TODAY()+TIME(14,0,0)</f>
        <v>46322.583333333336</v>
      </c>
      <c r="G25" s="65">
        <v>0</v>
      </c>
      <c r="H25" s="73">
        <f ca="1">F25-G28</f>
        <v>0.1687002314865822</v>
      </c>
      <c r="I25" s="9">
        <f ca="1">G25*H25</f>
        <v>0</v>
      </c>
      <c r="J25" s="2"/>
      <c r="K25" s="14">
        <f ca="1">TODAY()+TIME(14,0,0)</f>
        <v>46322.583333333336</v>
      </c>
      <c r="L25" s="13">
        <f>G25+B25+B8+G8+L8+Q8</f>
        <v>2</v>
      </c>
      <c r="M25" s="15">
        <f ca="1">K25-L28</f>
        <v>0.1687002314865822</v>
      </c>
      <c r="N25" s="54">
        <f ca="1">L25*M25</f>
        <v>0.33740046297316439</v>
      </c>
      <c r="O25" s="2"/>
      <c r="P25" s="46" t="s">
        <v>28</v>
      </c>
      <c r="Q25" s="82">
        <f>Q19+Q20+Q21+Q22+Q23+Q24</f>
        <v>10867</v>
      </c>
      <c r="R25" s="33" t="s">
        <v>28</v>
      </c>
      <c r="S25" s="8">
        <f ca="1">L33</f>
        <v>46322.522417405562</v>
      </c>
      <c r="T25" s="2"/>
    </row>
    <row r="26" spans="1:20">
      <c r="A26" s="66">
        <f ca="1">TODAY()+TIME(15,0,0)</f>
        <v>46322.625</v>
      </c>
      <c r="B26" s="65">
        <v>0</v>
      </c>
      <c r="C26" s="73">
        <f ca="1">A26-B28</f>
        <v>0.21036689815082354</v>
      </c>
      <c r="D26" s="9">
        <f ca="1">B26*C26</f>
        <v>0</v>
      </c>
      <c r="E26" s="2"/>
      <c r="F26" s="66">
        <f ca="1">TODAY()+TIME(15,0,0)</f>
        <v>46322.625</v>
      </c>
      <c r="G26" s="65">
        <v>0</v>
      </c>
      <c r="H26" s="85">
        <f ca="1">F26-G28</f>
        <v>0.21036689815082354</v>
      </c>
      <c r="I26" s="9">
        <f ca="1">G26*H26</f>
        <v>0</v>
      </c>
      <c r="J26" s="2"/>
      <c r="K26" s="8">
        <f ca="1">TODAY()+TIME(15,0,0)</f>
        <v>46322.625</v>
      </c>
      <c r="L26" s="13">
        <f>G26+B26+B9+G9+L9+Q9</f>
        <v>5</v>
      </c>
      <c r="M26" s="15">
        <f ca="1">K26-L28</f>
        <v>0.21036689815082354</v>
      </c>
      <c r="N26" s="54">
        <f ca="1">L26*M26</f>
        <v>1.0518344907541177</v>
      </c>
      <c r="O26" s="2"/>
      <c r="P26" s="390" t="s">
        <v>57</v>
      </c>
      <c r="Q26" s="391"/>
      <c r="R26" s="391" t="s">
        <v>50</v>
      </c>
      <c r="S26" s="391"/>
      <c r="T26" s="2"/>
    </row>
    <row r="27" spans="1:20">
      <c r="A27" s="377"/>
      <c r="B27" s="394"/>
      <c r="C27" s="377"/>
      <c r="D27" s="377"/>
      <c r="E27" s="2"/>
      <c r="F27" s="377"/>
      <c r="G27" s="394"/>
      <c r="H27" s="377"/>
      <c r="I27" s="377"/>
      <c r="J27" s="2"/>
      <c r="K27" s="94"/>
      <c r="L27" s="94"/>
      <c r="M27" s="94"/>
      <c r="N27" s="95"/>
      <c r="O27" s="2"/>
      <c r="P27" s="328" t="s">
        <v>31</v>
      </c>
      <c r="Q27" s="383"/>
      <c r="R27" s="384" t="s">
        <v>32</v>
      </c>
      <c r="S27" s="384"/>
      <c r="T27" s="2"/>
    </row>
    <row r="28" spans="1:20">
      <c r="A28" s="11" t="s">
        <v>17</v>
      </c>
      <c r="B28" s="8">
        <f ca="1">NOW()</f>
        <v>46322.414633101849</v>
      </c>
      <c r="C28" s="377"/>
      <c r="D28" s="377"/>
      <c r="E28" s="2"/>
      <c r="F28" s="11" t="s">
        <v>17</v>
      </c>
      <c r="G28" s="8">
        <f ca="1">NOW()</f>
        <v>46322.414633101849</v>
      </c>
      <c r="H28" s="377"/>
      <c r="I28" s="377"/>
      <c r="J28" s="2"/>
      <c r="K28" s="12" t="s">
        <v>17</v>
      </c>
      <c r="L28" s="14">
        <f ca="1">NOW()</f>
        <v>46322.414633101849</v>
      </c>
      <c r="M28" s="106" t="s">
        <v>58</v>
      </c>
      <c r="N28" s="107">
        <f ca="1">L30-N21/L20/24</f>
        <v>1.7947212781217612</v>
      </c>
      <c r="O28" s="2"/>
      <c r="P28" s="111" t="s">
        <v>33</v>
      </c>
      <c r="Q28">
        <v>0</v>
      </c>
      <c r="R28" s="112" t="s">
        <v>34</v>
      </c>
      <c r="S28" s="113">
        <f>Q28/25</f>
        <v>0</v>
      </c>
      <c r="T28" s="2"/>
    </row>
    <row r="29" spans="1:20">
      <c r="A29" s="382"/>
      <c r="B29" s="382"/>
      <c r="C29" s="377"/>
      <c r="D29" s="377"/>
      <c r="E29" s="2"/>
      <c r="F29" s="382"/>
      <c r="G29" s="382"/>
      <c r="H29" s="377"/>
      <c r="I29" s="377"/>
      <c r="J29" s="2"/>
      <c r="K29" s="99"/>
      <c r="L29" s="99"/>
      <c r="M29" s="385"/>
      <c r="N29" s="386"/>
      <c r="O29" s="2"/>
      <c r="P29" s="67" t="s">
        <v>1</v>
      </c>
      <c r="Q29" s="65">
        <v>0</v>
      </c>
      <c r="R29" s="74" t="s">
        <v>34</v>
      </c>
      <c r="S29" s="34">
        <f>B40</f>
        <v>0</v>
      </c>
      <c r="T29" s="2"/>
    </row>
    <row r="30" spans="1:20">
      <c r="A30" s="11" t="s">
        <v>10</v>
      </c>
      <c r="B30" s="9">
        <f ca="1">D26+D25+D24+D23</f>
        <v>0.38110069445247063</v>
      </c>
      <c r="C30" s="11" t="s">
        <v>11</v>
      </c>
      <c r="D30" s="6">
        <f>B26+B25+B24+B23</f>
        <v>3</v>
      </c>
      <c r="E30" s="2"/>
      <c r="F30" s="11" t="s">
        <v>10</v>
      </c>
      <c r="G30" s="9">
        <f ca="1">I26+I25+I24+I23</f>
        <v>0.25406712963012978</v>
      </c>
      <c r="H30" s="11" t="s">
        <v>11</v>
      </c>
      <c r="I30" s="6">
        <f>G26+G25+G24+G23</f>
        <v>2</v>
      </c>
      <c r="J30" s="2"/>
      <c r="K30" s="12" t="s">
        <v>10</v>
      </c>
      <c r="L30" s="15">
        <f ca="1">N23+N24+N25+N26</f>
        <v>4.5274745370843448</v>
      </c>
      <c r="M30" s="12" t="s">
        <v>11</v>
      </c>
      <c r="N30" s="55">
        <f>L26+L25+L24+L23</f>
        <v>34</v>
      </c>
      <c r="O30" s="2"/>
      <c r="P30" s="68" t="s">
        <v>0</v>
      </c>
      <c r="Q30" s="65">
        <v>0</v>
      </c>
      <c r="R30" s="75" t="s">
        <v>34</v>
      </c>
      <c r="S30" s="34">
        <f>G40</f>
        <v>0</v>
      </c>
      <c r="T30" s="2"/>
    </row>
    <row r="31" spans="1:20">
      <c r="A31" s="11" t="s">
        <v>12</v>
      </c>
      <c r="B31" s="10">
        <f>B19/(B23+B24+B25+B26)</f>
        <v>871.66666666666663</v>
      </c>
      <c r="C31" s="377"/>
      <c r="D31" s="377"/>
      <c r="E31" s="2"/>
      <c r="F31" s="11" t="s">
        <v>12</v>
      </c>
      <c r="G31" s="10">
        <f>G19/(G23+G24+G25+G26)</f>
        <v>875</v>
      </c>
      <c r="H31" s="377"/>
      <c r="I31" s="377"/>
      <c r="J31" s="2"/>
      <c r="K31" s="12" t="s">
        <v>12</v>
      </c>
      <c r="L31" s="16">
        <f>N21/(L23+L24+L25+L26)</f>
        <v>319.61764705882354</v>
      </c>
      <c r="M31" s="385"/>
      <c r="N31" s="386"/>
      <c r="O31" s="2"/>
      <c r="P31" s="69" t="s">
        <v>2</v>
      </c>
      <c r="Q31" s="65">
        <v>0</v>
      </c>
      <c r="R31" s="76" t="s">
        <v>35</v>
      </c>
      <c r="S31" s="34" t="s">
        <v>36</v>
      </c>
      <c r="T31" s="2"/>
    </row>
    <row r="32" spans="1:20">
      <c r="A32" s="11" t="s">
        <v>13</v>
      </c>
      <c r="B32" s="9">
        <f>B19/(B20*(B23+B24+B25+B26))/24</f>
        <v>8.2921106037544393E-2</v>
      </c>
      <c r="C32" s="377"/>
      <c r="D32" s="377"/>
      <c r="E32" s="2"/>
      <c r="F32" s="11" t="s">
        <v>13</v>
      </c>
      <c r="G32" s="9">
        <f>G19/(G20*(G23+G24+G25+G26))/24</f>
        <v>9.1145833333333329E-2</v>
      </c>
      <c r="H32" s="377"/>
      <c r="I32" s="377"/>
      <c r="J32" s="2"/>
      <c r="K32" s="12" t="s">
        <v>46</v>
      </c>
      <c r="L32" s="9">
        <f>MAX(IFERROR(G32,"0"),IFERROR(B32,"0"),IFERROR(L15,"0"),IFERROR(G15,"0"),IFERROR(B15,"0"),IFERROR(Q15,"0"))</f>
        <v>0.10778430371127</v>
      </c>
      <c r="M32" s="12" t="s">
        <v>42</v>
      </c>
      <c r="N32" s="109">
        <f ca="1">N21/L20/24</f>
        <v>2.7327532589625836</v>
      </c>
      <c r="O32" s="2"/>
      <c r="P32" s="70" t="s">
        <v>18</v>
      </c>
      <c r="Q32" s="81">
        <v>0</v>
      </c>
      <c r="R32" s="77" t="s">
        <v>38</v>
      </c>
      <c r="S32" s="34">
        <f>B46</f>
        <v>0</v>
      </c>
      <c r="T32" s="2"/>
    </row>
    <row r="33" spans="1:20">
      <c r="A33" s="47" t="s">
        <v>14</v>
      </c>
      <c r="B33" s="48">
        <f ca="1">B28+B32</f>
        <v>46322.49755420789</v>
      </c>
      <c r="C33" s="387"/>
      <c r="D33" s="387"/>
      <c r="E33" s="43"/>
      <c r="F33" s="47" t="s">
        <v>14</v>
      </c>
      <c r="G33" s="48">
        <f ca="1">G28+G32</f>
        <v>46322.505778935185</v>
      </c>
      <c r="H33" s="387"/>
      <c r="I33" s="387"/>
      <c r="J33" s="43"/>
      <c r="K33" s="49" t="s">
        <v>14</v>
      </c>
      <c r="L33" s="50">
        <f ca="1">MAX(IFERROR(G33,"0"),IFERROR(B33,"0"),IFERROR(L16,"0"),IFERROR(G16,"0"),IFERROR(B16,"0"),IFERROR(Q16,"0"))</f>
        <v>46322.522417405562</v>
      </c>
      <c r="M33" s="392"/>
      <c r="N33" s="393"/>
      <c r="O33" s="37"/>
      <c r="P33" s="71" t="s">
        <v>19</v>
      </c>
      <c r="Q33" s="65">
        <v>0</v>
      </c>
      <c r="R33" s="78" t="s">
        <v>38</v>
      </c>
      <c r="S33" s="34">
        <f>G46</f>
        <v>0</v>
      </c>
      <c r="T33" s="2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52"/>
      <c r="L34" s="1"/>
      <c r="M34" s="1"/>
      <c r="N34" s="1"/>
      <c r="O34" s="2"/>
      <c r="P34" s="72" t="s">
        <v>3</v>
      </c>
      <c r="Q34" s="65">
        <v>0</v>
      </c>
      <c r="R34" s="79" t="s">
        <v>34</v>
      </c>
      <c r="S34" s="34">
        <f>L46</f>
        <v>0</v>
      </c>
      <c r="T34" s="2"/>
    </row>
    <row r="35" spans="1:20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2"/>
      <c r="P35" s="46" t="s">
        <v>28</v>
      </c>
      <c r="Q35" s="82">
        <f>B39+G39+L39+L45+G45+B45</f>
        <v>0</v>
      </c>
      <c r="R35" s="36"/>
      <c r="S35" s="38"/>
      <c r="T35" s="41"/>
    </row>
    <row r="36" spans="1:20">
      <c r="A36" s="42"/>
      <c r="B36" s="42"/>
      <c r="C36" s="42"/>
      <c r="D36" s="42"/>
      <c r="E36" s="42"/>
      <c r="F36" s="42"/>
      <c r="G36" s="44"/>
      <c r="H36" s="42"/>
      <c r="I36" s="42"/>
      <c r="J36" s="42"/>
      <c r="K36" s="42"/>
      <c r="L36" s="42"/>
      <c r="M36" s="42"/>
      <c r="N36" s="56"/>
      <c r="O36" s="2"/>
      <c r="P36" s="64" t="s">
        <v>43</v>
      </c>
      <c r="Q36" s="34">
        <f>Q35/N30</f>
        <v>0</v>
      </c>
      <c r="R36" s="110" t="s">
        <v>49</v>
      </c>
      <c r="S36" s="108"/>
      <c r="T36" s="41"/>
    </row>
    <row r="37" spans="1:20">
      <c r="A37" s="374" t="s">
        <v>1</v>
      </c>
      <c r="B37" s="374"/>
      <c r="C37" s="374"/>
      <c r="D37" s="374"/>
      <c r="E37" s="2"/>
      <c r="F37" s="375" t="s">
        <v>0</v>
      </c>
      <c r="G37" s="375"/>
      <c r="H37" s="375"/>
      <c r="I37" s="375"/>
      <c r="J37" s="2"/>
      <c r="K37" s="376" t="s">
        <v>2</v>
      </c>
      <c r="L37" s="376"/>
      <c r="M37" s="376"/>
      <c r="N37" s="315"/>
      <c r="O37" s="2"/>
      <c r="P37" s="40"/>
      <c r="Q37" s="40"/>
      <c r="R37" s="21" t="s">
        <v>34</v>
      </c>
      <c r="S37" s="34">
        <f>S29/D13</f>
        <v>0</v>
      </c>
      <c r="T37" s="41"/>
    </row>
    <row r="38" spans="1:20">
      <c r="A38" s="17" t="s">
        <v>44</v>
      </c>
      <c r="B38" s="6">
        <f>B2</f>
        <v>5065</v>
      </c>
      <c r="C38" s="11" t="s">
        <v>11</v>
      </c>
      <c r="D38" s="6">
        <f>D13</f>
        <v>11</v>
      </c>
      <c r="E38" s="2"/>
      <c r="F38" s="17" t="s">
        <v>44</v>
      </c>
      <c r="G38" s="6">
        <f>G2</f>
        <v>997</v>
      </c>
      <c r="H38" s="11" t="s">
        <v>11</v>
      </c>
      <c r="I38" s="6">
        <f>I13</f>
        <v>12</v>
      </c>
      <c r="J38" s="2"/>
      <c r="K38" s="17" t="s">
        <v>44</v>
      </c>
      <c r="L38" s="6">
        <f>L2</f>
        <v>440</v>
      </c>
      <c r="M38" s="11" t="s">
        <v>11</v>
      </c>
      <c r="N38" s="57">
        <f>N13</f>
        <v>4</v>
      </c>
      <c r="O38" s="2"/>
      <c r="P38" s="40"/>
      <c r="Q38" s="40"/>
      <c r="R38" s="22" t="s">
        <v>34</v>
      </c>
      <c r="S38" s="34">
        <f>S30/I13</f>
        <v>0</v>
      </c>
      <c r="T38" s="41"/>
    </row>
    <row r="39" spans="1:20">
      <c r="A39" s="17" t="s">
        <v>47</v>
      </c>
      <c r="B39" s="6">
        <f>Q28</f>
        <v>0</v>
      </c>
      <c r="C39" s="377"/>
      <c r="D39" s="377"/>
      <c r="E39" s="2"/>
      <c r="F39" s="17" t="s">
        <v>47</v>
      </c>
      <c r="G39" s="6">
        <f>Q29</f>
        <v>0</v>
      </c>
      <c r="H39" s="377"/>
      <c r="I39" s="377"/>
      <c r="J39" s="2"/>
      <c r="K39" s="17" t="s">
        <v>52</v>
      </c>
      <c r="L39" s="6">
        <f>Q30</f>
        <v>0</v>
      </c>
      <c r="M39" s="377"/>
      <c r="N39" s="368"/>
      <c r="O39" s="2"/>
      <c r="P39" s="40"/>
      <c r="Q39" s="40"/>
      <c r="R39" s="23" t="s">
        <v>53</v>
      </c>
      <c r="S39" s="34">
        <f>L40</f>
        <v>0</v>
      </c>
      <c r="T39" s="41"/>
    </row>
    <row r="40" spans="1:20">
      <c r="A40" s="17" t="s">
        <v>50</v>
      </c>
      <c r="B40" s="18">
        <f>B39/9</f>
        <v>0</v>
      </c>
      <c r="C40" s="377"/>
      <c r="D40" s="377"/>
      <c r="E40" s="2"/>
      <c r="F40" s="17" t="s">
        <v>50</v>
      </c>
      <c r="G40" s="18">
        <f>G39/9</f>
        <v>0</v>
      </c>
      <c r="H40" s="377"/>
      <c r="I40" s="377"/>
      <c r="J40" s="2"/>
      <c r="K40" s="17" t="s">
        <v>43</v>
      </c>
      <c r="L40" s="18">
        <f>L39/N13</f>
        <v>0</v>
      </c>
      <c r="M40" s="377"/>
      <c r="N40" s="368"/>
      <c r="O40" s="2"/>
      <c r="P40" s="40"/>
      <c r="Q40" s="40"/>
      <c r="R40" s="24" t="s">
        <v>38</v>
      </c>
      <c r="S40" s="34">
        <f>S32/D30</f>
        <v>0</v>
      </c>
      <c r="T40" s="41"/>
    </row>
    <row r="41" spans="1:20">
      <c r="A41" s="17" t="s">
        <v>51</v>
      </c>
      <c r="B41" s="18">
        <f>B40/D13</f>
        <v>0</v>
      </c>
      <c r="C41" s="377"/>
      <c r="D41" s="377"/>
      <c r="E41" s="2"/>
      <c r="F41" s="17" t="s">
        <v>51</v>
      </c>
      <c r="G41" s="18">
        <f>G40/I13</f>
        <v>0</v>
      </c>
      <c r="H41" s="377"/>
      <c r="I41" s="377"/>
      <c r="J41" s="2"/>
      <c r="K41" s="377"/>
      <c r="L41" s="377"/>
      <c r="M41" s="377"/>
      <c r="N41" s="368"/>
      <c r="O41" s="2"/>
      <c r="P41" s="40"/>
      <c r="Q41" s="40"/>
      <c r="R41" s="25" t="s">
        <v>38</v>
      </c>
      <c r="S41" s="34">
        <f>S33/I30</f>
        <v>0</v>
      </c>
      <c r="T41" s="41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378"/>
      <c r="K42" s="2"/>
      <c r="L42" s="2"/>
      <c r="M42" s="2"/>
      <c r="N42" s="19"/>
      <c r="O42" s="2"/>
      <c r="P42" s="40"/>
      <c r="Q42" s="40"/>
      <c r="R42" s="26" t="s">
        <v>34</v>
      </c>
      <c r="S42" s="34">
        <f>S34/S13</f>
        <v>0</v>
      </c>
      <c r="T42" s="41"/>
    </row>
    <row r="43" spans="1:20">
      <c r="A43" s="379" t="s">
        <v>18</v>
      </c>
      <c r="B43" s="379"/>
      <c r="C43" s="379"/>
      <c r="D43" s="379"/>
      <c r="E43" s="2"/>
      <c r="F43" s="380" t="s">
        <v>19</v>
      </c>
      <c r="G43" s="380"/>
      <c r="H43" s="380"/>
      <c r="I43" s="380"/>
      <c r="J43" s="378"/>
      <c r="K43" s="381" t="s">
        <v>3</v>
      </c>
      <c r="L43" s="381"/>
      <c r="M43" s="381"/>
      <c r="N43" s="347"/>
      <c r="O43" s="2"/>
      <c r="P43" s="40"/>
      <c r="Q43" s="40"/>
      <c r="R43" s="35"/>
      <c r="S43" s="35"/>
      <c r="T43" s="41"/>
    </row>
    <row r="44" spans="1:20">
      <c r="A44" s="17" t="s">
        <v>44</v>
      </c>
      <c r="B44" s="6">
        <f>B19</f>
        <v>2615</v>
      </c>
      <c r="C44" s="11" t="s">
        <v>11</v>
      </c>
      <c r="D44" s="6">
        <f>D19</f>
        <v>0</v>
      </c>
      <c r="E44" s="2"/>
      <c r="F44" s="17" t="s">
        <v>44</v>
      </c>
      <c r="G44" s="6">
        <f>G19</f>
        <v>1750</v>
      </c>
      <c r="H44" s="11" t="s">
        <v>11</v>
      </c>
      <c r="I44" s="6">
        <f>I19</f>
        <v>0</v>
      </c>
      <c r="J44" s="378"/>
      <c r="K44" s="17" t="s">
        <v>44</v>
      </c>
      <c r="L44" s="6">
        <f>Q2</f>
        <v>0</v>
      </c>
      <c r="M44" s="11" t="s">
        <v>11</v>
      </c>
      <c r="N44" s="57">
        <f>S13</f>
        <v>2</v>
      </c>
      <c r="O44" s="2"/>
      <c r="P44" s="40"/>
      <c r="Q44" s="40"/>
      <c r="R44" s="35"/>
      <c r="S44" s="35"/>
      <c r="T44" s="41"/>
    </row>
    <row r="45" spans="1:20">
      <c r="A45" s="17" t="s">
        <v>47</v>
      </c>
      <c r="B45" s="6">
        <f>Q31</f>
        <v>0</v>
      </c>
      <c r="C45" s="377"/>
      <c r="D45" s="377"/>
      <c r="E45" s="2"/>
      <c r="F45" s="17" t="s">
        <v>47</v>
      </c>
      <c r="G45" s="6">
        <f>Q32</f>
        <v>0</v>
      </c>
      <c r="H45" s="382"/>
      <c r="I45" s="382"/>
      <c r="J45" s="378"/>
      <c r="K45" s="17" t="s">
        <v>47</v>
      </c>
      <c r="L45" s="6">
        <f>Q33</f>
        <v>0</v>
      </c>
      <c r="M45" s="377"/>
      <c r="N45" s="368"/>
      <c r="O45" s="2"/>
      <c r="P45" s="40"/>
      <c r="Q45" s="40"/>
      <c r="R45" s="35"/>
      <c r="S45" s="35"/>
      <c r="T45" s="41"/>
    </row>
    <row r="46" spans="1:20">
      <c r="A46" s="17" t="s">
        <v>54</v>
      </c>
      <c r="B46" s="18">
        <f>B45/10</f>
        <v>0</v>
      </c>
      <c r="C46" s="377"/>
      <c r="D46" s="377"/>
      <c r="E46" s="2"/>
      <c r="F46" s="17" t="s">
        <v>54</v>
      </c>
      <c r="G46" s="18">
        <f>G45/10</f>
        <v>0</v>
      </c>
      <c r="H46" s="382"/>
      <c r="I46" s="382"/>
      <c r="J46" s="378"/>
      <c r="K46" s="17" t="s">
        <v>50</v>
      </c>
      <c r="L46" s="18">
        <f>L45/16</f>
        <v>0</v>
      </c>
      <c r="M46" s="377"/>
      <c r="N46" s="368"/>
      <c r="O46" s="2"/>
      <c r="P46" s="40"/>
      <c r="Q46" s="40"/>
      <c r="R46" s="35"/>
      <c r="S46" s="35"/>
      <c r="T46" s="41"/>
    </row>
    <row r="47" spans="1:20">
      <c r="A47" s="17" t="s">
        <v>56</v>
      </c>
      <c r="B47" s="18">
        <f>B46/D30</f>
        <v>0</v>
      </c>
      <c r="C47" s="377"/>
      <c r="D47" s="377"/>
      <c r="E47" s="2"/>
      <c r="F47" s="17" t="s">
        <v>56</v>
      </c>
      <c r="G47" s="18">
        <f>G46/I30</f>
        <v>0</v>
      </c>
      <c r="H47" s="382"/>
      <c r="I47" s="382"/>
      <c r="J47" s="378"/>
      <c r="K47" s="17" t="s">
        <v>51</v>
      </c>
      <c r="L47" s="18">
        <f>L46/N44</f>
        <v>0</v>
      </c>
      <c r="M47" s="377"/>
      <c r="N47" s="368"/>
      <c r="O47" s="2"/>
      <c r="P47" s="11" t="s">
        <v>17</v>
      </c>
      <c r="Q47" s="8">
        <f ca="1">NOW()</f>
        <v>46322.414633101849</v>
      </c>
      <c r="R47" s="35"/>
      <c r="S47" s="35"/>
      <c r="T47" s="41"/>
    </row>
    <row r="48" spans="1:20">
      <c r="A48" s="2"/>
      <c r="B48" s="39"/>
      <c r="C48" s="2"/>
      <c r="D48" s="2"/>
      <c r="E48" s="2"/>
      <c r="F48" s="2"/>
      <c r="G48" s="39"/>
      <c r="H48" s="2"/>
      <c r="I48" s="2"/>
      <c r="J48" s="2"/>
      <c r="K48" s="2"/>
      <c r="L48" s="2"/>
      <c r="M48" s="2"/>
      <c r="N48" s="19"/>
      <c r="O48" s="2"/>
      <c r="P48" s="51"/>
      <c r="Q48" s="42"/>
      <c r="R48" s="42"/>
      <c r="S48" s="42"/>
      <c r="T48" s="2"/>
    </row>
    <row r="65" spans="17:17">
      <c r="Q65">
        <v>4</v>
      </c>
    </row>
  </sheetData>
  <sheetProtection algorithmName="SHA-512" hashValue="XmBHWtklwdVwD4DOqNRCOPm1wsLq8XfvFbFNWY7T1E1gvUq/LQRUsnfBxQoAXqH5bhjngkj1GyP2nFVv8KZP1g==" saltValue="AIL1rwN7fd0OhWT/ePWbeA==" spinCount="100000" sheet="1" objects="1" scenarios="1"/>
  <mergeCells count="63">
    <mergeCell ref="A1:D1"/>
    <mergeCell ref="F1:I1"/>
    <mergeCell ref="K1:N1"/>
    <mergeCell ref="P1:S1"/>
    <mergeCell ref="C2:D4"/>
    <mergeCell ref="H2:I4"/>
    <mergeCell ref="M2:N4"/>
    <mergeCell ref="R2:S4"/>
    <mergeCell ref="F4:G4"/>
    <mergeCell ref="K4:L4"/>
    <mergeCell ref="P4:Q4"/>
    <mergeCell ref="R18:S18"/>
    <mergeCell ref="C19:D21"/>
    <mergeCell ref="H19:I21"/>
    <mergeCell ref="P10:Q10"/>
    <mergeCell ref="A10:B10"/>
    <mergeCell ref="C14:D16"/>
    <mergeCell ref="H14:I16"/>
    <mergeCell ref="M14:N16"/>
    <mergeCell ref="C10:D12"/>
    <mergeCell ref="F10:G10"/>
    <mergeCell ref="H10:I12"/>
    <mergeCell ref="K10:L10"/>
    <mergeCell ref="M10:N12"/>
    <mergeCell ref="A12:B12"/>
    <mergeCell ref="F12:G12"/>
    <mergeCell ref="K12:L12"/>
    <mergeCell ref="P12:Q12"/>
    <mergeCell ref="R14:S16"/>
    <mergeCell ref="R10:S12"/>
    <mergeCell ref="C31:D33"/>
    <mergeCell ref="H31:I33"/>
    <mergeCell ref="A18:D18"/>
    <mergeCell ref="F18:I18"/>
    <mergeCell ref="P18:Q18"/>
    <mergeCell ref="P26:Q26"/>
    <mergeCell ref="M31:N31"/>
    <mergeCell ref="M33:N33"/>
    <mergeCell ref="A21:B21"/>
    <mergeCell ref="R26:S26"/>
    <mergeCell ref="A27:B27"/>
    <mergeCell ref="C27:D29"/>
    <mergeCell ref="F27:G27"/>
    <mergeCell ref="H27:I29"/>
    <mergeCell ref="P27:Q27"/>
    <mergeCell ref="R27:S27"/>
    <mergeCell ref="A29:B29"/>
    <mergeCell ref="F29:G29"/>
    <mergeCell ref="M29:N29"/>
    <mergeCell ref="A37:D37"/>
    <mergeCell ref="F37:I37"/>
    <mergeCell ref="K37:N37"/>
    <mergeCell ref="M45:N47"/>
    <mergeCell ref="C39:D41"/>
    <mergeCell ref="H39:I41"/>
    <mergeCell ref="M39:N41"/>
    <mergeCell ref="K41:L41"/>
    <mergeCell ref="J42:J47"/>
    <mergeCell ref="A43:D43"/>
    <mergeCell ref="F43:I43"/>
    <mergeCell ref="K43:N43"/>
    <mergeCell ref="C45:D47"/>
    <mergeCell ref="H45:I47"/>
  </mergeCells>
  <conditionalFormatting sqref="N21">
    <cfRule type="cellIs" dxfId="114" priority="5" stopIfTrue="1" operator="greaterThan">
      <formula>$N$20</formula>
    </cfRule>
  </conditionalFormatting>
  <conditionalFormatting sqref="N19">
    <cfRule type="cellIs" dxfId="113" priority="4" operator="greaterThan">
      <formula>$N$21</formula>
    </cfRule>
  </conditionalFormatting>
  <conditionalFormatting sqref="N21">
    <cfRule type="cellIs" dxfId="112" priority="3" operator="lessThan">
      <formula>$N$20</formula>
    </cfRule>
  </conditionalFormatting>
  <conditionalFormatting sqref="N19">
    <cfRule type="cellIs" dxfId="111" priority="2" operator="equal">
      <formula>$N$20</formula>
    </cfRule>
  </conditionalFormatting>
  <conditionalFormatting sqref="N19">
    <cfRule type="cellIs" dxfId="110" priority="1" operator="lessThan">
      <formula>$N$21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4469-C65D-4F2B-8949-7EF2C176E680}">
  <sheetPr>
    <tabColor rgb="FF7030A0"/>
  </sheetPr>
  <dimension ref="A1:T65"/>
  <sheetViews>
    <sheetView workbookViewId="0"/>
  </sheetViews>
  <sheetFormatPr defaultRowHeight="15"/>
  <cols>
    <col min="1" max="1" width="25.28515625" customWidth="1"/>
    <col min="2" max="2" width="10.42578125" customWidth="1"/>
    <col min="3" max="3" width="19.85546875" customWidth="1"/>
    <col min="4" max="4" width="23" customWidth="1"/>
    <col min="5" max="5" width="2.7109375" customWidth="1"/>
    <col min="6" max="6" width="25.28515625" customWidth="1"/>
    <col min="7" max="7" width="10.42578125" customWidth="1"/>
    <col min="8" max="8" width="19.85546875" customWidth="1"/>
    <col min="9" max="9" width="23" customWidth="1"/>
    <col min="10" max="10" width="2.7109375" customWidth="1"/>
    <col min="11" max="11" width="25.28515625" customWidth="1"/>
    <col min="12" max="12" width="10.42578125" customWidth="1"/>
    <col min="13" max="13" width="19.85546875" customWidth="1"/>
    <col min="14" max="14" width="23" customWidth="1"/>
    <col min="15" max="15" width="2.7109375" customWidth="1"/>
    <col min="16" max="16" width="25.28515625" customWidth="1"/>
    <col min="17" max="17" width="10.42578125" customWidth="1"/>
    <col min="18" max="18" width="19.85546875" customWidth="1"/>
    <col min="19" max="19" width="23" customWidth="1"/>
    <col min="20" max="20" width="2.7109375" customWidth="1"/>
  </cols>
  <sheetData>
    <row r="1" spans="1:20">
      <c r="A1" s="374" t="s">
        <v>1</v>
      </c>
      <c r="B1" s="374"/>
      <c r="C1" s="374"/>
      <c r="D1" s="374"/>
      <c r="E1" s="2"/>
      <c r="F1" s="375" t="s">
        <v>0</v>
      </c>
      <c r="G1" s="375"/>
      <c r="H1" s="375"/>
      <c r="I1" s="375"/>
      <c r="J1" s="2"/>
      <c r="K1" s="102" t="s">
        <v>2</v>
      </c>
      <c r="L1" s="102"/>
      <c r="M1" s="102"/>
      <c r="N1" s="102"/>
      <c r="O1" s="2"/>
      <c r="P1" s="381" t="s">
        <v>3</v>
      </c>
      <c r="Q1" s="381"/>
      <c r="R1" s="381"/>
      <c r="S1" s="381"/>
      <c r="T1" s="2"/>
    </row>
    <row r="2" spans="1:20">
      <c r="A2" s="11" t="s">
        <v>4</v>
      </c>
      <c r="B2" s="6">
        <f>Q13</f>
        <v>0</v>
      </c>
      <c r="C2" s="377"/>
      <c r="D2" s="377"/>
      <c r="E2" s="2"/>
      <c r="F2" s="11" t="s">
        <v>4</v>
      </c>
      <c r="G2" s="6">
        <f>Q14</f>
        <v>0</v>
      </c>
      <c r="H2" s="396"/>
      <c r="I2" s="396"/>
      <c r="J2" s="2"/>
      <c r="K2" s="6" t="s">
        <v>4</v>
      </c>
      <c r="L2" s="6">
        <f>Q15</f>
        <v>0</v>
      </c>
      <c r="M2" s="93"/>
      <c r="N2" s="93"/>
      <c r="O2" s="2"/>
      <c r="P2" s="6" t="s">
        <v>4</v>
      </c>
      <c r="Q2" s="6">
        <f>Q18</f>
        <v>0</v>
      </c>
      <c r="R2" s="377"/>
      <c r="S2" s="377"/>
      <c r="T2" s="2"/>
    </row>
    <row r="3" spans="1:20">
      <c r="A3" s="11" t="s">
        <v>5</v>
      </c>
      <c r="B3" s="6">
        <f>'Keräysteho kplh'!B2</f>
        <v>178</v>
      </c>
      <c r="C3" s="377"/>
      <c r="D3" s="377"/>
      <c r="E3" s="2"/>
      <c r="F3" s="11" t="s">
        <v>5</v>
      </c>
      <c r="G3" s="6">
        <f>'Keräysteho kplh'!B3</f>
        <v>74</v>
      </c>
      <c r="H3" s="396"/>
      <c r="I3" s="396"/>
      <c r="J3" s="2"/>
      <c r="K3" s="6" t="s">
        <v>5</v>
      </c>
      <c r="L3" s="6">
        <f>'Keräysteho kplh'!B4</f>
        <v>117</v>
      </c>
      <c r="M3" s="93"/>
      <c r="N3" s="93"/>
      <c r="O3" s="2"/>
      <c r="P3" s="6" t="s">
        <v>5</v>
      </c>
      <c r="Q3" s="6">
        <f>'Keräysteho kplh'!B7</f>
        <v>30</v>
      </c>
      <c r="R3" s="377"/>
      <c r="S3" s="377"/>
      <c r="T3" s="2"/>
    </row>
    <row r="4" spans="1:20">
      <c r="A4" s="7"/>
      <c r="B4" s="7"/>
      <c r="C4" s="377"/>
      <c r="D4" s="377"/>
      <c r="E4" s="2"/>
      <c r="F4" s="382"/>
      <c r="G4" s="382"/>
      <c r="H4" s="396"/>
      <c r="I4" s="396"/>
      <c r="J4" s="2"/>
      <c r="K4" s="96"/>
      <c r="L4" s="96"/>
      <c r="M4" s="93"/>
      <c r="N4" s="93"/>
      <c r="O4" s="2"/>
      <c r="P4" s="382"/>
      <c r="Q4" s="382"/>
      <c r="R4" s="377"/>
      <c r="S4" s="377"/>
      <c r="T4" s="2"/>
    </row>
    <row r="5" spans="1:20">
      <c r="A5" s="11" t="s">
        <v>6</v>
      </c>
      <c r="B5" s="12" t="s">
        <v>7</v>
      </c>
      <c r="C5" s="11" t="s">
        <v>8</v>
      </c>
      <c r="D5" s="11" t="s">
        <v>9</v>
      </c>
      <c r="E5" s="5"/>
      <c r="F5" s="11" t="s">
        <v>6</v>
      </c>
      <c r="G5" s="12" t="s">
        <v>7</v>
      </c>
      <c r="H5" s="11" t="s">
        <v>8</v>
      </c>
      <c r="I5" s="11" t="s">
        <v>9</v>
      </c>
      <c r="J5" s="5"/>
      <c r="K5" s="11" t="s">
        <v>6</v>
      </c>
      <c r="L5" s="12" t="s">
        <v>7</v>
      </c>
      <c r="M5" s="11" t="s">
        <v>8</v>
      </c>
      <c r="N5" s="11" t="s">
        <v>9</v>
      </c>
      <c r="O5" s="2"/>
      <c r="P5" s="47" t="s">
        <v>6</v>
      </c>
      <c r="Q5" s="80"/>
      <c r="R5" s="47" t="s">
        <v>8</v>
      </c>
      <c r="S5" s="47" t="s">
        <v>9</v>
      </c>
      <c r="T5" s="2"/>
    </row>
    <row r="6" spans="1:20">
      <c r="A6" s="66">
        <f ca="1">TODAY()+TIME(12,0,0)</f>
        <v>46322.5</v>
      </c>
      <c r="B6" s="65">
        <v>0</v>
      </c>
      <c r="C6" s="73">
        <f ca="1">A6-B11</f>
        <v>8.5366898150823545E-2</v>
      </c>
      <c r="D6" s="9">
        <f ca="1">B6*C6</f>
        <v>0</v>
      </c>
      <c r="E6" s="3"/>
      <c r="F6" s="66">
        <f ca="1">TODAY()+TIME(12,0,0)</f>
        <v>46322.5</v>
      </c>
      <c r="G6" s="65">
        <v>0</v>
      </c>
      <c r="H6" s="73">
        <f ca="1">F6-G11</f>
        <v>8.5366898150823545E-2</v>
      </c>
      <c r="I6" s="9">
        <f ca="1">G6*H6</f>
        <v>0</v>
      </c>
      <c r="J6" s="3"/>
      <c r="K6" s="66">
        <f ca="1">TODAY()+TIME(12,0,0)</f>
        <v>46322.5</v>
      </c>
      <c r="L6" s="65">
        <v>0</v>
      </c>
      <c r="M6" s="73">
        <f ca="1">K6-L11</f>
        <v>8.5366898150823545E-2</v>
      </c>
      <c r="N6" s="9">
        <f ca="1">L6*M6</f>
        <v>0</v>
      </c>
      <c r="O6" s="133"/>
      <c r="P6" s="134" t="e">
        <f ca="1">S18</f>
        <v>#DIV/0!</v>
      </c>
      <c r="Q6" s="65">
        <v>0</v>
      </c>
      <c r="R6" s="135" t="e">
        <f ca="1">P6-L29</f>
        <v>#DIV/0!</v>
      </c>
      <c r="S6" s="126" t="e">
        <f ca="1">R6*Q6</f>
        <v>#DIV/0!</v>
      </c>
      <c r="T6" s="41"/>
    </row>
    <row r="7" spans="1:20">
      <c r="A7" s="66">
        <f ca="1">TODAY()+TIME(13,0,0)</f>
        <v>46322.541666666664</v>
      </c>
      <c r="B7" s="65">
        <v>0</v>
      </c>
      <c r="C7" s="73">
        <f ca="1">A7-B11</f>
        <v>0.12703356481506489</v>
      </c>
      <c r="D7" s="9">
        <f ca="1">B7*C7</f>
        <v>0</v>
      </c>
      <c r="E7" s="3"/>
      <c r="F7" s="66">
        <f ca="1">TODAY()+TIME(13,0,0)</f>
        <v>46322.541666666664</v>
      </c>
      <c r="G7" s="65">
        <v>0</v>
      </c>
      <c r="H7" s="73">
        <f ca="1">F7-G11</f>
        <v>0.12703356481506489</v>
      </c>
      <c r="I7" s="9">
        <f ca="1">G7*H7</f>
        <v>0</v>
      </c>
      <c r="J7" s="3"/>
      <c r="K7" s="66">
        <f ca="1">TODAY()+TIME(13,0,0)</f>
        <v>46322.541666666664</v>
      </c>
      <c r="L7" s="65">
        <v>0</v>
      </c>
      <c r="M7" s="73">
        <f ca="1">K7-L11</f>
        <v>0.12703356481506489</v>
      </c>
      <c r="N7" s="9">
        <f ca="1">L7*M7</f>
        <v>0</v>
      </c>
      <c r="O7" s="133"/>
      <c r="P7" s="11" t="s">
        <v>10</v>
      </c>
      <c r="Q7" s="9" t="e">
        <f ca="1">S6</f>
        <v>#DIV/0!</v>
      </c>
      <c r="R7" s="11" t="s">
        <v>11</v>
      </c>
      <c r="S7" s="6">
        <f>Q6</f>
        <v>0</v>
      </c>
      <c r="T7" s="41"/>
    </row>
    <row r="8" spans="1:20">
      <c r="A8" s="66">
        <f ca="1">TODAY()+TIME(14,0,0)</f>
        <v>46322.583333333336</v>
      </c>
      <c r="B8" s="65">
        <v>0</v>
      </c>
      <c r="C8" s="73">
        <f ca="1">A8-B11</f>
        <v>0.1687002314865822</v>
      </c>
      <c r="D8" s="9">
        <f ca="1">B8*C8</f>
        <v>0</v>
      </c>
      <c r="E8" s="3"/>
      <c r="F8" s="66">
        <f ca="1">TODAY()+TIME(14,0,0)</f>
        <v>46322.583333333336</v>
      </c>
      <c r="G8" s="65">
        <v>0</v>
      </c>
      <c r="H8" s="73">
        <f ca="1">F8-G11</f>
        <v>0.1687002314865822</v>
      </c>
      <c r="I8" s="9">
        <f ca="1">G8*H8</f>
        <v>0</v>
      </c>
      <c r="J8" s="3"/>
      <c r="K8" s="66">
        <f ca="1">TODAY()+TIME(14,0,0)</f>
        <v>46322.583333333336</v>
      </c>
      <c r="L8" s="65">
        <v>0</v>
      </c>
      <c r="M8" s="73">
        <f ca="1">K8-L11</f>
        <v>0.1687002314865822</v>
      </c>
      <c r="N8" s="9">
        <f ca="1">L8*M8</f>
        <v>0</v>
      </c>
      <c r="O8" s="133"/>
      <c r="P8" s="11" t="s">
        <v>12</v>
      </c>
      <c r="Q8" s="10" t="e">
        <f>Q2/(Q6)</f>
        <v>#DIV/0!</v>
      </c>
      <c r="R8" s="377"/>
      <c r="S8" s="377"/>
      <c r="T8" s="41"/>
    </row>
    <row r="9" spans="1:20">
      <c r="A9" s="66">
        <f ca="1">TODAY()+TIME(15,0,0)</f>
        <v>46322.625</v>
      </c>
      <c r="B9" s="65">
        <v>0</v>
      </c>
      <c r="C9" s="73">
        <f ca="1">A9-B11</f>
        <v>0.21036689815082354</v>
      </c>
      <c r="D9" s="9">
        <f ca="1">B9*C9</f>
        <v>0</v>
      </c>
      <c r="E9" s="3"/>
      <c r="F9" s="66">
        <f ca="1">TODAY()+TIME(15,0,0)</f>
        <v>46322.625</v>
      </c>
      <c r="G9" s="65">
        <v>0</v>
      </c>
      <c r="H9" s="73">
        <f ca="1">F9-G11</f>
        <v>0.21036689815082354</v>
      </c>
      <c r="I9" s="9">
        <f ca="1">G9*H9</f>
        <v>0</v>
      </c>
      <c r="J9" s="3"/>
      <c r="K9" s="66">
        <f ca="1">TODAY()+TIME(15,0,0)</f>
        <v>46322.625</v>
      </c>
      <c r="L9" s="65">
        <v>0</v>
      </c>
      <c r="M9" s="73">
        <f ca="1">K9-L11</f>
        <v>0.21036689815082354</v>
      </c>
      <c r="N9" s="9">
        <f ca="1">L9*M9</f>
        <v>0</v>
      </c>
      <c r="O9" s="133"/>
      <c r="P9" s="11" t="s">
        <v>13</v>
      </c>
      <c r="Q9" s="9" t="e">
        <f>Q2/(Q3*(Q6))/24</f>
        <v>#DIV/0!</v>
      </c>
      <c r="R9" s="377"/>
      <c r="S9" s="377"/>
      <c r="T9" s="41"/>
    </row>
    <row r="10" spans="1:20">
      <c r="A10" s="377"/>
      <c r="B10" s="394"/>
      <c r="C10" s="395"/>
      <c r="D10" s="395"/>
      <c r="E10" s="3"/>
      <c r="F10" s="377"/>
      <c r="G10" s="394"/>
      <c r="H10" s="377"/>
      <c r="I10" s="377"/>
      <c r="J10" s="3"/>
      <c r="K10" s="93"/>
      <c r="L10" s="98"/>
      <c r="M10" s="93"/>
      <c r="N10" s="93"/>
      <c r="O10" s="2"/>
      <c r="P10" s="11" t="s">
        <v>14</v>
      </c>
      <c r="Q10" s="8" t="e">
        <f ca="1">L29+Q9</f>
        <v>#DIV/0!</v>
      </c>
      <c r="R10" s="377"/>
      <c r="S10" s="377"/>
      <c r="T10" s="2"/>
    </row>
    <row r="11" spans="1:20">
      <c r="A11" s="11" t="s">
        <v>17</v>
      </c>
      <c r="B11" s="8">
        <f ca="1">NOW()</f>
        <v>46322.414633101849</v>
      </c>
      <c r="C11" s="395"/>
      <c r="D11" s="395"/>
      <c r="E11" s="2"/>
      <c r="F11" s="11" t="s">
        <v>17</v>
      </c>
      <c r="G11" s="8">
        <f ca="1">NOW()</f>
        <v>46322.414633101849</v>
      </c>
      <c r="H11" s="377"/>
      <c r="I11" s="377"/>
      <c r="J11" s="2"/>
      <c r="K11" s="11" t="s">
        <v>17</v>
      </c>
      <c r="L11" s="8">
        <f ca="1">NOW()</f>
        <v>46322.414633101849</v>
      </c>
      <c r="M11" s="93"/>
      <c r="N11" s="93"/>
      <c r="O11" s="2"/>
      <c r="P11" s="41"/>
      <c r="Q11" s="2"/>
      <c r="R11" s="2"/>
      <c r="S11" s="2"/>
      <c r="T11" s="2"/>
    </row>
    <row r="12" spans="1:20">
      <c r="A12" s="377"/>
      <c r="B12" s="377"/>
      <c r="C12" s="395"/>
      <c r="D12" s="395"/>
      <c r="E12" s="2"/>
      <c r="F12" s="368"/>
      <c r="G12" s="369"/>
      <c r="H12" s="377"/>
      <c r="I12" s="377"/>
      <c r="J12" s="2"/>
      <c r="K12" s="96"/>
      <c r="L12" s="96"/>
      <c r="M12" s="93"/>
      <c r="N12" s="93"/>
      <c r="O12" s="2"/>
      <c r="P12" s="121" t="s">
        <v>15</v>
      </c>
      <c r="Q12" s="122"/>
      <c r="R12" s="124" t="s">
        <v>16</v>
      </c>
      <c r="S12" s="124"/>
      <c r="T12" s="2"/>
    </row>
    <row r="13" spans="1:20">
      <c r="A13" s="11" t="s">
        <v>10</v>
      </c>
      <c r="B13" s="9">
        <f ca="1">(B6*C6)+(B7*C7)+(B8*C8)+(B9*C9)</f>
        <v>0</v>
      </c>
      <c r="C13" s="11" t="s">
        <v>11</v>
      </c>
      <c r="D13" s="6">
        <f>B9+B8+B7+B6</f>
        <v>0</v>
      </c>
      <c r="E13" s="2"/>
      <c r="F13" s="11" t="s">
        <v>10</v>
      </c>
      <c r="G13" s="9">
        <f ca="1">(H9*G9)+(H8*G8)+(H7*G7)+(H6*G6)</f>
        <v>0</v>
      </c>
      <c r="H13" s="11" t="s">
        <v>11</v>
      </c>
      <c r="I13" s="6">
        <f>G9+G8+G7+G6</f>
        <v>0</v>
      </c>
      <c r="J13" s="2"/>
      <c r="K13" s="11" t="s">
        <v>10</v>
      </c>
      <c r="L13" s="9">
        <f ca="1">N9+N8+N7+N6</f>
        <v>0</v>
      </c>
      <c r="M13" s="11" t="s">
        <v>11</v>
      </c>
      <c r="N13" s="6">
        <f>L9+L8+L7+L6</f>
        <v>0</v>
      </c>
      <c r="O13" s="2"/>
      <c r="P13" s="67" t="s">
        <v>1</v>
      </c>
      <c r="Q13" s="65">
        <v>0</v>
      </c>
      <c r="R13" s="58" t="s">
        <v>1</v>
      </c>
      <c r="S13" s="20" t="e">
        <f ca="1">B16</f>
        <v>#DIV/0!</v>
      </c>
      <c r="T13" s="2"/>
    </row>
    <row r="14" spans="1:20">
      <c r="A14" s="11" t="s">
        <v>12</v>
      </c>
      <c r="B14" s="10" t="e">
        <f>B2/(B6+B7+B8+B9)</f>
        <v>#DIV/0!</v>
      </c>
      <c r="C14" s="377"/>
      <c r="D14" s="377"/>
      <c r="E14" s="2"/>
      <c r="F14" s="11" t="s">
        <v>12</v>
      </c>
      <c r="G14" s="10" t="e">
        <f>G2/(G6+G7+G8+G9)</f>
        <v>#DIV/0!</v>
      </c>
      <c r="H14" s="350"/>
      <c r="I14" s="351"/>
      <c r="J14" s="2"/>
      <c r="K14" s="11" t="s">
        <v>12</v>
      </c>
      <c r="L14" s="10" t="e">
        <f>L2/(L6+L7+L8+L9)</f>
        <v>#DIV/0!</v>
      </c>
      <c r="M14" s="93"/>
      <c r="N14" s="93"/>
      <c r="O14" s="2"/>
      <c r="P14" s="68" t="s">
        <v>0</v>
      </c>
      <c r="Q14" s="65">
        <v>0</v>
      </c>
      <c r="R14" s="59" t="s">
        <v>0</v>
      </c>
      <c r="S14" s="20" t="e">
        <f ca="1">G16</f>
        <v>#DIV/0!</v>
      </c>
      <c r="T14" s="2"/>
    </row>
    <row r="15" spans="1:20">
      <c r="A15" s="11" t="s">
        <v>13</v>
      </c>
      <c r="B15" s="9" t="e">
        <f>B2/(B3*(B6+B7+B8+B9))/24</f>
        <v>#DIV/0!</v>
      </c>
      <c r="C15" s="377"/>
      <c r="D15" s="377"/>
      <c r="E15" s="2"/>
      <c r="F15" s="11" t="s">
        <v>13</v>
      </c>
      <c r="G15" s="9" t="e">
        <f>G2/(G3*(G6+G7+G8+G9))/24</f>
        <v>#DIV/0!</v>
      </c>
      <c r="H15" s="354"/>
      <c r="I15" s="355"/>
      <c r="J15" s="2"/>
      <c r="K15" s="11" t="s">
        <v>13</v>
      </c>
      <c r="L15" s="9" t="e">
        <f>L2/(L3*(L6+L7+L8+L9))/24</f>
        <v>#DIV/0!</v>
      </c>
      <c r="M15" s="93"/>
      <c r="N15" s="93"/>
      <c r="O15" s="2"/>
      <c r="P15" s="69" t="s">
        <v>2</v>
      </c>
      <c r="Q15" s="65">
        <v>0</v>
      </c>
      <c r="R15" s="60" t="s">
        <v>2</v>
      </c>
      <c r="S15" s="20" t="e">
        <f ca="1">L16</f>
        <v>#DIV/0!</v>
      </c>
      <c r="T15" s="2"/>
    </row>
    <row r="16" spans="1:20">
      <c r="A16" s="11" t="s">
        <v>14</v>
      </c>
      <c r="B16" s="8" t="e">
        <f ca="1">B11+B15</f>
        <v>#DIV/0!</v>
      </c>
      <c r="C16" s="377"/>
      <c r="D16" s="377"/>
      <c r="E16" s="2"/>
      <c r="F16" s="11" t="s">
        <v>14</v>
      </c>
      <c r="G16" s="8" t="e">
        <f ca="1">G11+G15</f>
        <v>#DIV/0!</v>
      </c>
      <c r="H16" s="352"/>
      <c r="I16" s="353"/>
      <c r="J16" s="2"/>
      <c r="K16" s="11" t="s">
        <v>14</v>
      </c>
      <c r="L16" s="8" t="e">
        <f ca="1">L11+L15</f>
        <v>#DIV/0!</v>
      </c>
      <c r="M16" s="93"/>
      <c r="N16" s="93"/>
      <c r="O16" s="2"/>
      <c r="P16" s="70" t="s">
        <v>18</v>
      </c>
      <c r="Q16" s="65">
        <v>0</v>
      </c>
      <c r="R16" s="61" t="s">
        <v>18</v>
      </c>
      <c r="S16" s="20" t="e">
        <f ca="1">B33</f>
        <v>#DIV/0!</v>
      </c>
      <c r="T16" s="2"/>
    </row>
    <row r="17" spans="1:20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9"/>
      <c r="O17" s="2"/>
      <c r="P17" s="71" t="s">
        <v>19</v>
      </c>
      <c r="Q17" s="65">
        <v>0</v>
      </c>
      <c r="R17" s="62" t="s">
        <v>19</v>
      </c>
      <c r="S17" s="20" t="e">
        <f ca="1">G33</f>
        <v>#DIV/0!</v>
      </c>
      <c r="T17" s="19"/>
    </row>
    <row r="18" spans="1:20">
      <c r="A18" s="379" t="s">
        <v>18</v>
      </c>
      <c r="B18" s="379"/>
      <c r="C18" s="379"/>
      <c r="D18" s="379"/>
      <c r="E18" s="2"/>
      <c r="F18" s="380" t="s">
        <v>19</v>
      </c>
      <c r="G18" s="380"/>
      <c r="H18" s="380"/>
      <c r="I18" s="380"/>
      <c r="J18" s="2"/>
      <c r="K18" s="103" t="s">
        <v>59</v>
      </c>
      <c r="L18" s="103"/>
      <c r="M18" s="103"/>
      <c r="N18" s="104"/>
      <c r="O18" s="2"/>
      <c r="P18" s="72" t="s">
        <v>3</v>
      </c>
      <c r="Q18" s="65">
        <v>0</v>
      </c>
      <c r="R18" s="63" t="s">
        <v>3</v>
      </c>
      <c r="S18" s="8" t="e">
        <f ca="1">Q10</f>
        <v>#DIV/0!</v>
      </c>
      <c r="T18" s="19"/>
    </row>
    <row r="19" spans="1:20">
      <c r="A19" s="11" t="s">
        <v>4</v>
      </c>
      <c r="B19" s="6">
        <f>Q16</f>
        <v>0</v>
      </c>
      <c r="C19" s="377"/>
      <c r="D19" s="377"/>
      <c r="E19" s="2"/>
      <c r="F19" s="11" t="s">
        <v>4</v>
      </c>
      <c r="G19" s="6">
        <f>Q17</f>
        <v>0</v>
      </c>
      <c r="H19" s="377"/>
      <c r="I19" s="377"/>
      <c r="J19" s="2"/>
      <c r="K19" s="86" t="s">
        <v>20</v>
      </c>
      <c r="L19" s="87" t="e">
        <f ca="1">((N21-N20)/L20)/24</f>
        <v>#DIV/0!</v>
      </c>
      <c r="M19" s="86" t="s">
        <v>21</v>
      </c>
      <c r="N19" s="88" t="e">
        <f ca="1">N20+($L$20*L21)</f>
        <v>#DIV/0!</v>
      </c>
      <c r="O19" s="2"/>
      <c r="P19" s="46" t="s">
        <v>28</v>
      </c>
      <c r="Q19" s="82">
        <f>Q13+Q14+Q15+Q16+Q17+Q18</f>
        <v>0</v>
      </c>
      <c r="R19" s="33" t="s">
        <v>28</v>
      </c>
      <c r="S19" s="8">
        <f ca="1">L33</f>
        <v>0</v>
      </c>
      <c r="T19" s="19"/>
    </row>
    <row r="20" spans="1:20">
      <c r="A20" s="11" t="s">
        <v>5</v>
      </c>
      <c r="B20" s="6">
        <f>'Keräysteho kplh'!B5</f>
        <v>438</v>
      </c>
      <c r="C20" s="377"/>
      <c r="D20" s="377"/>
      <c r="E20" s="2"/>
      <c r="F20" s="11" t="s">
        <v>5</v>
      </c>
      <c r="G20" s="6">
        <f>'Keräysteho kplh'!B6</f>
        <v>400</v>
      </c>
      <c r="H20" s="377"/>
      <c r="I20" s="377"/>
      <c r="J20" s="2"/>
      <c r="K20" s="12" t="s">
        <v>22</v>
      </c>
      <c r="L20" s="90" t="e">
        <f ca="1">(B3*B13+G3*G13+L3*L13+B20*B30+G20*G30)/
(B13+G13+L13+B30+G30)</f>
        <v>#DIV/0!</v>
      </c>
      <c r="M20" s="86" t="s">
        <v>23</v>
      </c>
      <c r="N20" s="89" t="e">
        <f ca="1">L20*L30*24</f>
        <v>#DIV/0!</v>
      </c>
      <c r="O20" s="2"/>
      <c r="P20" s="123" t="s">
        <v>57</v>
      </c>
      <c r="Q20" s="36"/>
      <c r="R20" s="36" t="s">
        <v>50</v>
      </c>
      <c r="S20" s="36"/>
      <c r="T20" s="19"/>
    </row>
    <row r="21" spans="1:20">
      <c r="A21" s="382"/>
      <c r="B21" s="382"/>
      <c r="C21" s="377"/>
      <c r="D21" s="377"/>
      <c r="E21" s="2"/>
      <c r="F21" s="6"/>
      <c r="G21" s="7"/>
      <c r="H21" s="377"/>
      <c r="I21" s="377"/>
      <c r="J21" s="2"/>
      <c r="K21" s="86" t="s">
        <v>24</v>
      </c>
      <c r="L21" s="91">
        <v>0</v>
      </c>
      <c r="M21" s="12" t="s">
        <v>25</v>
      </c>
      <c r="N21" s="13">
        <f>B2+G2+L2+B19+G19</f>
        <v>0</v>
      </c>
      <c r="O21" s="2"/>
      <c r="P21" s="108" t="s">
        <v>31</v>
      </c>
      <c r="Q21" s="125"/>
      <c r="R21" s="124" t="s">
        <v>32</v>
      </c>
      <c r="S21" s="124"/>
      <c r="T21" s="19"/>
    </row>
    <row r="22" spans="1:20">
      <c r="A22" s="11" t="s">
        <v>6</v>
      </c>
      <c r="B22" s="12" t="s">
        <v>7</v>
      </c>
      <c r="C22" s="11" t="s">
        <v>8</v>
      </c>
      <c r="D22" s="11" t="s">
        <v>9</v>
      </c>
      <c r="E22" s="5"/>
      <c r="F22" s="11" t="s">
        <v>6</v>
      </c>
      <c r="G22" s="12" t="s">
        <v>7</v>
      </c>
      <c r="H22" s="11" t="s">
        <v>8</v>
      </c>
      <c r="I22" s="11" t="s">
        <v>9</v>
      </c>
      <c r="J22" s="5"/>
      <c r="K22" s="13" t="s">
        <v>30</v>
      </c>
      <c r="L22" s="132" t="e">
        <f ca="1">(B3*B13+G3*G13+L3*L13+Q3*Q7+B20*B30+G20*G30)/
(B13+G13+L13+Q7+B30+G30)</f>
        <v>#DIV/0!</v>
      </c>
      <c r="M22" s="13" t="s">
        <v>27</v>
      </c>
      <c r="N22" s="13">
        <f>B2+G2+L2+Q2+B19+G19</f>
        <v>0</v>
      </c>
      <c r="O22" s="2"/>
      <c r="P22" s="111" t="s">
        <v>33</v>
      </c>
      <c r="Q22">
        <v>0</v>
      </c>
      <c r="R22" s="112" t="s">
        <v>34</v>
      </c>
      <c r="S22" s="113">
        <f>Q22/25</f>
        <v>0</v>
      </c>
      <c r="T22" s="19">
        <v>47</v>
      </c>
    </row>
    <row r="23" spans="1:20">
      <c r="A23" s="66">
        <f ca="1">TODAY()+TIME(12,0,0)</f>
        <v>46322.5</v>
      </c>
      <c r="B23" s="65">
        <v>0</v>
      </c>
      <c r="C23" s="73">
        <f ca="1">A23-B28</f>
        <v>8.5366898150823545E-2</v>
      </c>
      <c r="D23" s="9">
        <f ca="1">B23*C23</f>
        <v>0</v>
      </c>
      <c r="E23" s="2"/>
      <c r="F23" s="66">
        <f ca="1">TODAY()+TIME(12,0,0)</f>
        <v>46322.5</v>
      </c>
      <c r="G23" s="65">
        <v>0</v>
      </c>
      <c r="H23" s="73">
        <f ca="1">F23-G28</f>
        <v>8.5366898150823545E-2</v>
      </c>
      <c r="I23" s="9">
        <f ca="1">G23*H23</f>
        <v>0</v>
      </c>
      <c r="J23" s="2"/>
      <c r="K23" s="12" t="s">
        <v>6</v>
      </c>
      <c r="L23" s="12" t="s">
        <v>29</v>
      </c>
      <c r="M23" s="12" t="s">
        <v>8</v>
      </c>
      <c r="N23" s="53" t="s">
        <v>9</v>
      </c>
      <c r="O23" s="2"/>
      <c r="P23" s="67" t="s">
        <v>1</v>
      </c>
      <c r="Q23" s="65">
        <v>0</v>
      </c>
      <c r="R23" s="74" t="s">
        <v>34</v>
      </c>
      <c r="S23" s="34">
        <f>B40</f>
        <v>0</v>
      </c>
      <c r="T23" s="19"/>
    </row>
    <row r="24" spans="1:20">
      <c r="A24" s="66">
        <f ca="1">TODAY()+TIME(13,0,0)</f>
        <v>46322.541666666664</v>
      </c>
      <c r="B24" s="65">
        <v>0</v>
      </c>
      <c r="C24" s="73">
        <f ca="1">A24-B28</f>
        <v>0.12703356481506489</v>
      </c>
      <c r="D24" s="9">
        <f ca="1">B24*C24</f>
        <v>0</v>
      </c>
      <c r="E24" s="2"/>
      <c r="F24" s="66">
        <f ca="1">TODAY()+TIME(13,0,0)</f>
        <v>46322.541666666664</v>
      </c>
      <c r="G24" s="65">
        <v>0</v>
      </c>
      <c r="H24" s="73">
        <f ca="1">F24-G28</f>
        <v>0.12703356481506489</v>
      </c>
      <c r="I24" s="9">
        <f ca="1">G24*H24</f>
        <v>0</v>
      </c>
      <c r="J24" s="2"/>
      <c r="K24" s="14">
        <f ca="1">TODAY()+TIME(12,0,0)</f>
        <v>46322.5</v>
      </c>
      <c r="L24" s="13">
        <f>G23+B23+B6+G6+L6</f>
        <v>0</v>
      </c>
      <c r="M24" s="15">
        <f ca="1">K24-L29</f>
        <v>8.5366898150823545E-2</v>
      </c>
      <c r="N24" s="54">
        <f ca="1">L24*M24</f>
        <v>0</v>
      </c>
      <c r="O24" s="2"/>
      <c r="P24" s="68" t="s">
        <v>0</v>
      </c>
      <c r="Q24" s="65">
        <v>0</v>
      </c>
      <c r="R24" s="75" t="s">
        <v>34</v>
      </c>
      <c r="S24" s="34">
        <f>G40</f>
        <v>0</v>
      </c>
      <c r="T24" s="19"/>
    </row>
    <row r="25" spans="1:20">
      <c r="A25" s="66">
        <f ca="1">TODAY()+TIME(14,0,0)</f>
        <v>46322.583333333336</v>
      </c>
      <c r="B25" s="65">
        <v>0</v>
      </c>
      <c r="C25" s="73">
        <f ca="1">A25-B28</f>
        <v>0.1687002314865822</v>
      </c>
      <c r="D25" s="9">
        <f ca="1">B25*C25</f>
        <v>0</v>
      </c>
      <c r="E25" s="2"/>
      <c r="F25" s="66">
        <f ca="1">TODAY()+TIME(14,0,0)</f>
        <v>46322.583333333336</v>
      </c>
      <c r="G25" s="65">
        <v>0</v>
      </c>
      <c r="H25" s="73">
        <f ca="1">F25-G28</f>
        <v>0.1687002314865822</v>
      </c>
      <c r="I25" s="9">
        <f ca="1">G25*H25</f>
        <v>0</v>
      </c>
      <c r="J25" s="2"/>
      <c r="K25" s="14">
        <f ca="1">TODAY()+TIME(13,0,0)</f>
        <v>46322.541666666664</v>
      </c>
      <c r="L25" s="13">
        <f>G24+B24+B7+G7+L7</f>
        <v>0</v>
      </c>
      <c r="M25" s="15">
        <f ca="1">K25-L29</f>
        <v>0.12703356481506489</v>
      </c>
      <c r="N25" s="54">
        <f ca="1">L25*M25</f>
        <v>0</v>
      </c>
      <c r="O25" s="2"/>
      <c r="P25" s="69" t="s">
        <v>2</v>
      </c>
      <c r="Q25" s="65">
        <v>0</v>
      </c>
      <c r="R25" s="76" t="s">
        <v>35</v>
      </c>
      <c r="S25" s="34" t="s">
        <v>36</v>
      </c>
      <c r="T25" s="19"/>
    </row>
    <row r="26" spans="1:20">
      <c r="A26" s="66">
        <f ca="1">TODAY()+TIME(15,0,0)</f>
        <v>46322.625</v>
      </c>
      <c r="B26" s="65">
        <v>0</v>
      </c>
      <c r="C26" s="73">
        <f ca="1">A26-B28</f>
        <v>0.21036689815082354</v>
      </c>
      <c r="D26" s="9">
        <f ca="1">B26*C26</f>
        <v>0</v>
      </c>
      <c r="E26" s="2"/>
      <c r="F26" s="66">
        <f ca="1">TODAY()+TIME(15,0,0)</f>
        <v>46322.625</v>
      </c>
      <c r="G26" s="65">
        <v>0</v>
      </c>
      <c r="H26" s="92">
        <f ca="1">F26-G28</f>
        <v>0.21036689815082354</v>
      </c>
      <c r="I26" s="9">
        <f ca="1">G26*H26</f>
        <v>0</v>
      </c>
      <c r="J26" s="2"/>
      <c r="K26" s="14">
        <f ca="1">TODAY()+TIME(14,0,0)</f>
        <v>46322.583333333336</v>
      </c>
      <c r="L26" s="13">
        <f>G25+B25+B8+G8+L8</f>
        <v>0</v>
      </c>
      <c r="M26" s="15">
        <f ca="1">K26-L29</f>
        <v>0.1687002314865822</v>
      </c>
      <c r="N26" s="54">
        <f ca="1">L26*M26</f>
        <v>0</v>
      </c>
      <c r="O26" s="2"/>
      <c r="P26" s="70" t="s">
        <v>18</v>
      </c>
      <c r="Q26" s="81">
        <v>0</v>
      </c>
      <c r="R26" s="77" t="s">
        <v>38</v>
      </c>
      <c r="S26" s="34">
        <f>B46</f>
        <v>0</v>
      </c>
      <c r="T26" s="19"/>
    </row>
    <row r="27" spans="1:20">
      <c r="A27" s="377"/>
      <c r="B27" s="394"/>
      <c r="C27" s="377"/>
      <c r="D27" s="377"/>
      <c r="E27" s="2"/>
      <c r="F27" s="377"/>
      <c r="G27" s="394"/>
      <c r="H27" s="377"/>
      <c r="I27" s="377"/>
      <c r="J27" s="2"/>
      <c r="K27" s="8">
        <f ca="1">TODAY()+TIME(15,0,0)</f>
        <v>46322.625</v>
      </c>
      <c r="L27" s="13">
        <f>G26+B26+B9+G9+L9</f>
        <v>0</v>
      </c>
      <c r="M27" s="127">
        <f ca="1">K27-L29</f>
        <v>0.21036689815082354</v>
      </c>
      <c r="N27" s="128">
        <f ca="1">L27*M27</f>
        <v>0</v>
      </c>
      <c r="O27" s="2"/>
      <c r="P27" s="71" t="s">
        <v>19</v>
      </c>
      <c r="Q27" s="65">
        <v>0</v>
      </c>
      <c r="R27" s="78" t="s">
        <v>38</v>
      </c>
      <c r="S27" s="34">
        <f>G46</f>
        <v>0</v>
      </c>
      <c r="T27" s="2"/>
    </row>
    <row r="28" spans="1:20">
      <c r="A28" s="11" t="s">
        <v>17</v>
      </c>
      <c r="B28" s="8">
        <f ca="1">NOW()</f>
        <v>46322.414633101849</v>
      </c>
      <c r="C28" s="377"/>
      <c r="D28" s="377"/>
      <c r="E28" s="2"/>
      <c r="F28" s="11" t="s">
        <v>17</v>
      </c>
      <c r="G28" s="8">
        <f ca="1">NOW()</f>
        <v>46322.414633101849</v>
      </c>
      <c r="H28" s="377"/>
      <c r="I28" s="377"/>
      <c r="J28" s="2"/>
      <c r="K28" s="13" t="s">
        <v>60</v>
      </c>
      <c r="L28" s="130">
        <f>S7</f>
        <v>0</v>
      </c>
      <c r="M28" s="131" t="e">
        <f ca="1">R6</f>
        <v>#DIV/0!</v>
      </c>
      <c r="N28" s="131" t="e">
        <f ca="1">S6</f>
        <v>#DIV/0!</v>
      </c>
      <c r="O28" s="41"/>
      <c r="P28" s="72" t="s">
        <v>3</v>
      </c>
      <c r="Q28" s="65">
        <v>0</v>
      </c>
      <c r="R28" s="79" t="s">
        <v>34</v>
      </c>
      <c r="S28" s="34">
        <f>L46</f>
        <v>0</v>
      </c>
      <c r="T28" s="2"/>
    </row>
    <row r="29" spans="1:20">
      <c r="A29" s="382"/>
      <c r="B29" s="382"/>
      <c r="C29" s="377"/>
      <c r="D29" s="377"/>
      <c r="E29" s="2"/>
      <c r="F29" s="382"/>
      <c r="G29" s="382"/>
      <c r="H29" s="377"/>
      <c r="I29" s="377"/>
      <c r="J29" s="2"/>
      <c r="K29" s="12" t="s">
        <v>17</v>
      </c>
      <c r="L29" s="14">
        <f ca="1">NOW()</f>
        <v>46322.414633101849</v>
      </c>
      <c r="M29" s="129" t="s">
        <v>58</v>
      </c>
      <c r="N29" s="107" t="e">
        <f ca="1">L30-N21/L20/24</f>
        <v>#DIV/0!</v>
      </c>
      <c r="O29" s="2"/>
      <c r="P29" s="46" t="s">
        <v>28</v>
      </c>
      <c r="Q29" s="82">
        <f>B39+G39+L39+L45+G45+B45</f>
        <v>0</v>
      </c>
      <c r="R29" s="36"/>
      <c r="S29" s="38"/>
      <c r="T29" s="2"/>
    </row>
    <row r="30" spans="1:20">
      <c r="A30" s="11" t="s">
        <v>10</v>
      </c>
      <c r="B30" s="9">
        <f ca="1">D26+D25+D24+D23</f>
        <v>0</v>
      </c>
      <c r="C30" s="11" t="s">
        <v>11</v>
      </c>
      <c r="D30" s="6">
        <f>B26+B25+B24+B23</f>
        <v>0</v>
      </c>
      <c r="E30" s="2"/>
      <c r="F30" s="11" t="s">
        <v>10</v>
      </c>
      <c r="G30" s="9">
        <f ca="1">I26+I25+I24+I23</f>
        <v>0</v>
      </c>
      <c r="H30" s="11" t="s">
        <v>11</v>
      </c>
      <c r="I30" s="6">
        <f>G26+G25+G24+G23</f>
        <v>0</v>
      </c>
      <c r="J30" s="2"/>
      <c r="K30" s="12" t="s">
        <v>10</v>
      </c>
      <c r="L30" s="15">
        <f ca="1">N24+N25+N26+N27</f>
        <v>0</v>
      </c>
      <c r="M30" s="12" t="s">
        <v>11</v>
      </c>
      <c r="N30" s="55">
        <f>L27+L26+L25+L24</f>
        <v>0</v>
      </c>
      <c r="O30" s="2"/>
      <c r="P30" s="64" t="s">
        <v>43</v>
      </c>
      <c r="Q30" s="34" t="e">
        <f>Q29/N30</f>
        <v>#DIV/0!</v>
      </c>
      <c r="R30" s="110" t="s">
        <v>49</v>
      </c>
      <c r="S30" s="108"/>
      <c r="T30" s="2"/>
    </row>
    <row r="31" spans="1:20">
      <c r="A31" s="11" t="s">
        <v>12</v>
      </c>
      <c r="B31" s="10" t="e">
        <f>B19/(B23+B24+B25+B26)</f>
        <v>#DIV/0!</v>
      </c>
      <c r="C31" s="350"/>
      <c r="D31" s="351"/>
      <c r="E31" s="2"/>
      <c r="F31" s="11" t="s">
        <v>12</v>
      </c>
      <c r="G31" s="10" t="e">
        <f>G19/(G23+G24+G25+G26)</f>
        <v>#DIV/0!</v>
      </c>
      <c r="H31" s="377"/>
      <c r="I31" s="377"/>
      <c r="J31" s="2"/>
      <c r="K31" s="12" t="s">
        <v>12</v>
      </c>
      <c r="L31" s="16" t="e">
        <f>N21/(L24+L25+L26+L27)</f>
        <v>#DIV/0!</v>
      </c>
      <c r="M31" s="385"/>
      <c r="N31" s="386"/>
      <c r="O31" s="2"/>
      <c r="P31" s="40"/>
      <c r="Q31" s="40"/>
      <c r="R31" s="21" t="s">
        <v>34</v>
      </c>
      <c r="S31" s="34" t="e">
        <f>S23/D13</f>
        <v>#DIV/0!</v>
      </c>
      <c r="T31" s="2"/>
    </row>
    <row r="32" spans="1:20">
      <c r="A32" s="11" t="s">
        <v>13</v>
      </c>
      <c r="B32" s="9" t="e">
        <f>B19/(B20*(B23+B24+B25+B26))/24</f>
        <v>#DIV/0!</v>
      </c>
      <c r="C32" s="354"/>
      <c r="D32" s="355"/>
      <c r="E32" s="2"/>
      <c r="F32" s="11" t="s">
        <v>13</v>
      </c>
      <c r="G32" s="9" t="e">
        <f>G19/(G20*(G23+G24+G25+G26))/24</f>
        <v>#DIV/0!</v>
      </c>
      <c r="H32" s="377"/>
      <c r="I32" s="377"/>
      <c r="J32" s="2"/>
      <c r="K32" s="12" t="s">
        <v>46</v>
      </c>
      <c r="L32" s="9">
        <f>MAX(IFERROR(G32,"0"),IFERROR(B32,"0"),IFERROR(L15,"0"),IFERROR(G15,"0"),IFERROR(B15,"0"),IFERROR(Q9,"0"))</f>
        <v>0</v>
      </c>
      <c r="M32" s="12" t="s">
        <v>42</v>
      </c>
      <c r="N32" s="109" t="e">
        <f ca="1">N21/L20/24</f>
        <v>#DIV/0!</v>
      </c>
      <c r="O32" s="2"/>
      <c r="P32" s="40"/>
      <c r="Q32" s="40"/>
      <c r="R32" s="22" t="s">
        <v>34</v>
      </c>
      <c r="S32" s="34" t="e">
        <f>S24/I13</f>
        <v>#DIV/0!</v>
      </c>
      <c r="T32" s="2"/>
    </row>
    <row r="33" spans="1:20">
      <c r="A33" s="47" t="s">
        <v>14</v>
      </c>
      <c r="B33" s="48" t="e">
        <f ca="1">B28+B32</f>
        <v>#DIV/0!</v>
      </c>
      <c r="C33" s="354"/>
      <c r="D33" s="355"/>
      <c r="E33" s="43"/>
      <c r="F33" s="47" t="s">
        <v>14</v>
      </c>
      <c r="G33" s="48" t="e">
        <f ca="1">G28+G32</f>
        <v>#DIV/0!</v>
      </c>
      <c r="H33" s="387"/>
      <c r="I33" s="387"/>
      <c r="J33" s="43"/>
      <c r="K33" s="49" t="s">
        <v>14</v>
      </c>
      <c r="L33" s="50">
        <f ca="1">MAX(IFERROR(G33,"0"),IFERROR(B33,"0"),IFERROR(L16,"0"),IFERROR(G16,"0"),IFERROR(B16,"0"),IFERROR(Q10,"0"))</f>
        <v>0</v>
      </c>
      <c r="M33" s="392"/>
      <c r="N33" s="393"/>
      <c r="O33" s="37"/>
      <c r="P33" s="40"/>
      <c r="Q33" s="40"/>
      <c r="R33" s="23" t="s">
        <v>53</v>
      </c>
      <c r="S33" s="34" t="e">
        <f>L40</f>
        <v>#DIV/0!</v>
      </c>
      <c r="T33" s="2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52"/>
      <c r="L34" s="1"/>
      <c r="M34" s="1"/>
      <c r="N34" s="1"/>
      <c r="O34" s="2"/>
      <c r="P34" s="40"/>
      <c r="Q34" s="40"/>
      <c r="R34" s="24" t="s">
        <v>38</v>
      </c>
      <c r="S34" s="34" t="e">
        <f>S26/D30</f>
        <v>#DIV/0!</v>
      </c>
      <c r="T34" s="2"/>
    </row>
    <row r="35" spans="1:20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"/>
      <c r="P35" s="40"/>
      <c r="Q35" s="40"/>
      <c r="R35" s="25" t="s">
        <v>38</v>
      </c>
      <c r="S35" s="34" t="e">
        <f>S27/I30</f>
        <v>#DIV/0!</v>
      </c>
      <c r="T35" s="41"/>
    </row>
    <row r="36" spans="1:20">
      <c r="A36" s="42"/>
      <c r="B36" s="42"/>
      <c r="C36" s="42"/>
      <c r="D36" s="42"/>
      <c r="E36" s="42"/>
      <c r="F36" s="42"/>
      <c r="G36" s="44"/>
      <c r="H36" s="42"/>
      <c r="I36" s="42"/>
      <c r="J36" s="42"/>
      <c r="K36" s="42"/>
      <c r="L36" s="42"/>
      <c r="M36" s="42"/>
      <c r="N36" s="56"/>
      <c r="O36" s="2"/>
      <c r="P36" s="40"/>
      <c r="Q36" s="40"/>
      <c r="R36" s="26" t="s">
        <v>34</v>
      </c>
      <c r="S36" s="34" t="e">
        <f>S28/S7</f>
        <v>#DIV/0!</v>
      </c>
      <c r="T36" s="41"/>
    </row>
    <row r="37" spans="1:20">
      <c r="A37" s="374" t="s">
        <v>1</v>
      </c>
      <c r="B37" s="374"/>
      <c r="C37" s="374"/>
      <c r="D37" s="374"/>
      <c r="E37" s="2"/>
      <c r="F37" s="375" t="s">
        <v>0</v>
      </c>
      <c r="G37" s="375"/>
      <c r="H37" s="375"/>
      <c r="I37" s="375"/>
      <c r="J37" s="2"/>
      <c r="K37" s="102" t="s">
        <v>2</v>
      </c>
      <c r="L37" s="102"/>
      <c r="M37" s="102"/>
      <c r="N37" s="105"/>
      <c r="O37" s="2"/>
      <c r="P37" s="354"/>
      <c r="Q37" s="397"/>
      <c r="R37" s="397"/>
      <c r="S37" s="397"/>
      <c r="T37" s="41"/>
    </row>
    <row r="38" spans="1:20">
      <c r="A38" s="17" t="s">
        <v>44</v>
      </c>
      <c r="B38" s="6">
        <f>B2</f>
        <v>0</v>
      </c>
      <c r="C38" s="11" t="s">
        <v>11</v>
      </c>
      <c r="D38" s="6">
        <f>D13</f>
        <v>0</v>
      </c>
      <c r="E38" s="2"/>
      <c r="F38" s="17" t="s">
        <v>44</v>
      </c>
      <c r="G38" s="6">
        <f>G2</f>
        <v>0</v>
      </c>
      <c r="H38" s="11" t="s">
        <v>11</v>
      </c>
      <c r="I38" s="6">
        <f>I13</f>
        <v>0</v>
      </c>
      <c r="J38" s="2"/>
      <c r="K38" s="17" t="s">
        <v>44</v>
      </c>
      <c r="L38" s="6">
        <f>L2</f>
        <v>0</v>
      </c>
      <c r="M38" s="11" t="s">
        <v>11</v>
      </c>
      <c r="N38" s="57">
        <f>N13</f>
        <v>0</v>
      </c>
      <c r="O38" s="2"/>
      <c r="P38" s="354"/>
      <c r="Q38" s="397"/>
      <c r="R38" s="397"/>
      <c r="S38" s="397"/>
      <c r="T38" s="41"/>
    </row>
    <row r="39" spans="1:20">
      <c r="A39" s="17" t="s">
        <v>47</v>
      </c>
      <c r="B39" s="6">
        <f>Q23</f>
        <v>0</v>
      </c>
      <c r="C39" s="377"/>
      <c r="D39" s="377"/>
      <c r="E39" s="2"/>
      <c r="F39" s="17" t="s">
        <v>47</v>
      </c>
      <c r="G39" s="6">
        <f>Q24</f>
        <v>0</v>
      </c>
      <c r="H39" s="377"/>
      <c r="I39" s="377"/>
      <c r="J39" s="2"/>
      <c r="K39" s="17" t="s">
        <v>52</v>
      </c>
      <c r="L39" s="6">
        <f>Q25</f>
        <v>0</v>
      </c>
      <c r="M39" s="93"/>
      <c r="N39" s="100"/>
      <c r="O39" s="2"/>
      <c r="P39" s="354"/>
      <c r="Q39" s="397"/>
      <c r="R39" s="397"/>
      <c r="S39" s="397"/>
      <c r="T39" s="41"/>
    </row>
    <row r="40" spans="1:20">
      <c r="A40" s="17" t="s">
        <v>50</v>
      </c>
      <c r="B40" s="18">
        <f>B39/9</f>
        <v>0</v>
      </c>
      <c r="C40" s="377"/>
      <c r="D40" s="377"/>
      <c r="E40" s="2"/>
      <c r="F40" s="17" t="s">
        <v>50</v>
      </c>
      <c r="G40" s="18">
        <f>G39/9</f>
        <v>0</v>
      </c>
      <c r="H40" s="377"/>
      <c r="I40" s="377"/>
      <c r="J40" s="2"/>
      <c r="K40" s="17" t="s">
        <v>43</v>
      </c>
      <c r="L40" s="18" t="e">
        <f>L39/N13</f>
        <v>#DIV/0!</v>
      </c>
      <c r="M40" s="93"/>
      <c r="N40" s="100"/>
      <c r="O40" s="2"/>
      <c r="P40" s="354"/>
      <c r="Q40" s="397"/>
      <c r="R40" s="397"/>
      <c r="S40" s="397"/>
      <c r="T40" s="41"/>
    </row>
    <row r="41" spans="1:20">
      <c r="A41" s="17" t="s">
        <v>51</v>
      </c>
      <c r="B41" s="18" t="e">
        <f>B40/D13</f>
        <v>#DIV/0!</v>
      </c>
      <c r="C41" s="377"/>
      <c r="D41" s="377"/>
      <c r="E41" s="2"/>
      <c r="F41" s="17" t="s">
        <v>51</v>
      </c>
      <c r="G41" s="18" t="e">
        <f>G40/I13</f>
        <v>#DIV/0!</v>
      </c>
      <c r="H41" s="377"/>
      <c r="I41" s="377"/>
      <c r="J41" s="2"/>
      <c r="K41" s="93"/>
      <c r="L41" s="93"/>
      <c r="M41" s="93"/>
      <c r="N41" s="100"/>
      <c r="O41" s="2"/>
      <c r="P41" s="354"/>
      <c r="Q41" s="397"/>
      <c r="R41" s="397"/>
      <c r="S41" s="397"/>
      <c r="T41" s="41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378"/>
      <c r="K42" s="2"/>
      <c r="L42" s="2"/>
      <c r="M42" s="2"/>
      <c r="N42" s="19"/>
      <c r="O42" s="2"/>
      <c r="P42" s="354"/>
      <c r="Q42" s="397"/>
      <c r="R42" s="397"/>
      <c r="S42" s="397"/>
      <c r="T42" s="41"/>
    </row>
    <row r="43" spans="1:20">
      <c r="A43" s="379" t="s">
        <v>18</v>
      </c>
      <c r="B43" s="379"/>
      <c r="C43" s="379"/>
      <c r="D43" s="379"/>
      <c r="E43" s="2"/>
      <c r="F43" s="380" t="s">
        <v>19</v>
      </c>
      <c r="G43" s="380"/>
      <c r="H43" s="380"/>
      <c r="I43" s="380"/>
      <c r="J43" s="378"/>
      <c r="K43" s="97" t="s">
        <v>3</v>
      </c>
      <c r="L43" s="97"/>
      <c r="M43" s="97"/>
      <c r="N43" s="101"/>
      <c r="O43" s="2"/>
      <c r="P43" s="354"/>
      <c r="Q43" s="397"/>
      <c r="R43" s="397"/>
      <c r="S43" s="397"/>
      <c r="T43" s="41"/>
    </row>
    <row r="44" spans="1:20">
      <c r="A44" s="17" t="s">
        <v>44</v>
      </c>
      <c r="B44" s="6">
        <f>B19</f>
        <v>0</v>
      </c>
      <c r="C44" s="11" t="s">
        <v>11</v>
      </c>
      <c r="D44" s="6">
        <f>D19</f>
        <v>0</v>
      </c>
      <c r="E44" s="2"/>
      <c r="F44" s="17" t="s">
        <v>44</v>
      </c>
      <c r="G44" s="6">
        <f>G19</f>
        <v>0</v>
      </c>
      <c r="H44" s="11" t="s">
        <v>11</v>
      </c>
      <c r="I44" s="6">
        <f>I19</f>
        <v>0</v>
      </c>
      <c r="J44" s="378"/>
      <c r="K44" s="17" t="s">
        <v>44</v>
      </c>
      <c r="L44" s="6">
        <f>Q2</f>
        <v>0</v>
      </c>
      <c r="M44" s="11" t="s">
        <v>11</v>
      </c>
      <c r="N44" s="57">
        <f>S7</f>
        <v>0</v>
      </c>
      <c r="O44" s="2"/>
      <c r="P44" s="354"/>
      <c r="Q44" s="397"/>
      <c r="R44" s="397"/>
      <c r="S44" s="397"/>
      <c r="T44" s="41"/>
    </row>
    <row r="45" spans="1:20">
      <c r="A45" s="17" t="s">
        <v>47</v>
      </c>
      <c r="B45" s="6">
        <f>Q26</f>
        <v>0</v>
      </c>
      <c r="C45" s="377"/>
      <c r="D45" s="377"/>
      <c r="E45" s="2"/>
      <c r="F45" s="17" t="s">
        <v>47</v>
      </c>
      <c r="G45" s="6">
        <f>Q27</f>
        <v>0</v>
      </c>
      <c r="H45" s="382"/>
      <c r="I45" s="382"/>
      <c r="J45" s="378"/>
      <c r="K45" s="17" t="s">
        <v>47</v>
      </c>
      <c r="L45" s="6">
        <f>Q28</f>
        <v>0</v>
      </c>
      <c r="M45" s="93"/>
      <c r="N45" s="100"/>
      <c r="O45" s="2"/>
      <c r="P45" s="354"/>
      <c r="Q45" s="397"/>
      <c r="R45" s="397"/>
      <c r="S45" s="397"/>
      <c r="T45" s="41"/>
    </row>
    <row r="46" spans="1:20">
      <c r="A46" s="17" t="s">
        <v>54</v>
      </c>
      <c r="B46" s="18">
        <f>B45/10</f>
        <v>0</v>
      </c>
      <c r="C46" s="377"/>
      <c r="D46" s="377"/>
      <c r="E46" s="2"/>
      <c r="F46" s="17" t="s">
        <v>54</v>
      </c>
      <c r="G46" s="18">
        <f>G45/10</f>
        <v>0</v>
      </c>
      <c r="H46" s="382"/>
      <c r="I46" s="382"/>
      <c r="J46" s="378"/>
      <c r="K46" s="17" t="s">
        <v>50</v>
      </c>
      <c r="L46" s="18">
        <f>L45/16</f>
        <v>0</v>
      </c>
      <c r="M46" s="93"/>
      <c r="N46" s="100"/>
      <c r="O46" s="2"/>
      <c r="P46" s="354"/>
      <c r="Q46" s="397"/>
      <c r="R46" s="397"/>
      <c r="S46" s="397"/>
      <c r="T46" s="41"/>
    </row>
    <row r="47" spans="1:20">
      <c r="A47" s="17" t="s">
        <v>56</v>
      </c>
      <c r="B47" s="18" t="e">
        <f>B46/D30</f>
        <v>#DIV/0!</v>
      </c>
      <c r="C47" s="377"/>
      <c r="D47" s="377"/>
      <c r="E47" s="2"/>
      <c r="F47" s="17" t="s">
        <v>56</v>
      </c>
      <c r="G47" s="18" t="e">
        <f>G46/I30</f>
        <v>#DIV/0!</v>
      </c>
      <c r="H47" s="382"/>
      <c r="I47" s="382"/>
      <c r="J47" s="378"/>
      <c r="K47" s="17" t="s">
        <v>51</v>
      </c>
      <c r="L47" s="18" t="e">
        <f>L46/N44</f>
        <v>#DIV/0!</v>
      </c>
      <c r="M47" s="93"/>
      <c r="N47" s="100"/>
      <c r="O47" s="2"/>
      <c r="P47" s="11" t="s">
        <v>17</v>
      </c>
      <c r="Q47" s="8">
        <f ca="1">NOW()</f>
        <v>46322.414633101849</v>
      </c>
      <c r="R47" s="35"/>
      <c r="S47" s="35"/>
      <c r="T47" s="41"/>
    </row>
    <row r="48" spans="1:20">
      <c r="A48" s="2"/>
      <c r="B48" s="39"/>
      <c r="C48" s="2"/>
      <c r="D48" s="2"/>
      <c r="E48" s="2"/>
      <c r="F48" s="2"/>
      <c r="G48" s="39"/>
      <c r="H48" s="2"/>
      <c r="I48" s="2"/>
      <c r="J48" s="2"/>
      <c r="K48" s="2"/>
      <c r="L48" s="2"/>
      <c r="M48" s="2"/>
      <c r="N48" s="19"/>
      <c r="O48" s="2"/>
      <c r="P48" s="51"/>
      <c r="Q48" s="42"/>
      <c r="R48" s="42"/>
      <c r="S48" s="42"/>
      <c r="T48" s="2"/>
    </row>
    <row r="65" spans="17:17">
      <c r="Q65">
        <v>4</v>
      </c>
    </row>
  </sheetData>
  <sheetProtection algorithmName="SHA-512" hashValue="FLgQDCmIZE+Lh2oqm4FBGVqlxGTPDn+VUS9KEAJJQ+mlvYD4vDCExHk2liVqj2ekf1tlQ8Av1Ymktr7YT9wPrQ==" saltValue="OeSnLkx162daQxU8rKqR9w==" spinCount="100000" sheet="1" objects="1" scenarios="1"/>
  <mergeCells count="42">
    <mergeCell ref="A1:D1"/>
    <mergeCell ref="F1:I1"/>
    <mergeCell ref="P1:S1"/>
    <mergeCell ref="C2:D4"/>
    <mergeCell ref="H2:I4"/>
    <mergeCell ref="R2:S4"/>
    <mergeCell ref="F4:G4"/>
    <mergeCell ref="P4:Q4"/>
    <mergeCell ref="R8:S10"/>
    <mergeCell ref="A10:B10"/>
    <mergeCell ref="C10:D12"/>
    <mergeCell ref="F10:G10"/>
    <mergeCell ref="H10:I12"/>
    <mergeCell ref="A12:B12"/>
    <mergeCell ref="F12:G12"/>
    <mergeCell ref="C14:D16"/>
    <mergeCell ref="H14:I16"/>
    <mergeCell ref="A18:D18"/>
    <mergeCell ref="F18:I18"/>
    <mergeCell ref="C19:D21"/>
    <mergeCell ref="H19:I21"/>
    <mergeCell ref="A21:B21"/>
    <mergeCell ref="A27:B27"/>
    <mergeCell ref="C27:D29"/>
    <mergeCell ref="F27:G27"/>
    <mergeCell ref="H27:I29"/>
    <mergeCell ref="A29:B29"/>
    <mergeCell ref="F29:G29"/>
    <mergeCell ref="C31:D33"/>
    <mergeCell ref="H31:I33"/>
    <mergeCell ref="M31:N31"/>
    <mergeCell ref="M33:N33"/>
    <mergeCell ref="A37:D37"/>
    <mergeCell ref="F37:I37"/>
    <mergeCell ref="P37:S46"/>
    <mergeCell ref="C39:D41"/>
    <mergeCell ref="H39:I41"/>
    <mergeCell ref="J42:J47"/>
    <mergeCell ref="A43:D43"/>
    <mergeCell ref="F43:I43"/>
    <mergeCell ref="C45:D47"/>
    <mergeCell ref="H45:I47"/>
  </mergeCells>
  <conditionalFormatting sqref="N21:N22">
    <cfRule type="cellIs" dxfId="109" priority="8" stopIfTrue="1" operator="greaterThan">
      <formula>$N$20</formula>
    </cfRule>
  </conditionalFormatting>
  <conditionalFormatting sqref="N19">
    <cfRule type="cellIs" dxfId="108" priority="7" operator="greaterThan">
      <formula>$N$21</formula>
    </cfRule>
  </conditionalFormatting>
  <conditionalFormatting sqref="N21">
    <cfRule type="cellIs" dxfId="107" priority="6" operator="lessThan">
      <formula>$N$20</formula>
    </cfRule>
  </conditionalFormatting>
  <conditionalFormatting sqref="N19">
    <cfRule type="cellIs" dxfId="106" priority="5" operator="equal">
      <formula>$N$20</formula>
    </cfRule>
  </conditionalFormatting>
  <conditionalFormatting sqref="N19">
    <cfRule type="cellIs" dxfId="105" priority="4" operator="lessThan">
      <formula>$N$21</formula>
    </cfRule>
  </conditionalFormatting>
  <conditionalFormatting sqref="N22">
    <cfRule type="cellIs" dxfId="104" priority="3" operator="lessThan">
      <formula>$N$20</formula>
    </cfRule>
  </conditionalFormatting>
  <conditionalFormatting sqref="N22">
    <cfRule type="cellIs" dxfId="103" priority="2" operator="equal">
      <formula>$N$21</formula>
    </cfRule>
  </conditionalFormatting>
  <conditionalFormatting sqref="L22">
    <cfRule type="containsErrors" dxfId="102" priority="1">
      <formula>ISERROR(L22)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34F3-EE33-4EE8-9506-4DA96AFD7BF6}">
  <sheetPr>
    <tabColor rgb="FFFFC000"/>
  </sheetPr>
  <dimension ref="A1:AB1675"/>
  <sheetViews>
    <sheetView showGridLines="0" showRowColHeaders="0" zoomScale="85" zoomScaleNormal="85" workbookViewId="0">
      <selection activeCell="Q17" sqref="Q17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374">
        <v>2</v>
      </c>
      <c r="B1" s="374"/>
      <c r="C1" s="374"/>
      <c r="D1" s="374"/>
      <c r="E1" s="2"/>
      <c r="F1" s="375" t="s">
        <v>0</v>
      </c>
      <c r="G1" s="375"/>
      <c r="H1" s="375"/>
      <c r="I1" s="375"/>
      <c r="J1" s="2"/>
      <c r="K1" s="102" t="s">
        <v>2</v>
      </c>
      <c r="L1" s="102"/>
      <c r="M1" s="102"/>
      <c r="N1" s="102"/>
      <c r="O1" s="2"/>
      <c r="P1" s="347" t="s">
        <v>3</v>
      </c>
      <c r="Q1" s="348"/>
      <c r="R1" s="348"/>
      <c r="S1" s="349"/>
      <c r="T1" s="2"/>
    </row>
    <row r="2" spans="1:28">
      <c r="A2" s="11" t="s">
        <v>4</v>
      </c>
      <c r="B2" s="6">
        <f>Q12</f>
        <v>0</v>
      </c>
      <c r="C2" s="350"/>
      <c r="D2" s="351"/>
      <c r="E2" s="2"/>
      <c r="F2" s="11" t="s">
        <v>4</v>
      </c>
      <c r="G2" s="6">
        <f>Q13</f>
        <v>0</v>
      </c>
      <c r="H2" s="398"/>
      <c r="I2" s="399"/>
      <c r="J2" s="2"/>
      <c r="K2" s="6" t="s">
        <v>4</v>
      </c>
      <c r="L2" s="6">
        <f>Q14</f>
        <v>0</v>
      </c>
      <c r="M2" s="350"/>
      <c r="N2" s="351"/>
      <c r="O2" s="2"/>
      <c r="P2" s="6" t="s">
        <v>4</v>
      </c>
      <c r="Q2" s="6">
        <f>Q17</f>
        <v>0</v>
      </c>
      <c r="R2" s="350"/>
      <c r="S2" s="351"/>
      <c r="T2" s="2"/>
    </row>
    <row r="3" spans="1:28">
      <c r="A3" s="11" t="s">
        <v>5</v>
      </c>
      <c r="B3" s="6">
        <f>'Keräysteho kplh'!B2</f>
        <v>178</v>
      </c>
      <c r="C3" s="352"/>
      <c r="D3" s="353"/>
      <c r="E3" s="2"/>
      <c r="F3" s="11" t="s">
        <v>5</v>
      </c>
      <c r="G3" s="6">
        <f>'Keräysteho kplh'!B3</f>
        <v>74</v>
      </c>
      <c r="H3" s="400"/>
      <c r="I3" s="401"/>
      <c r="J3" s="2"/>
      <c r="K3" s="6" t="s">
        <v>5</v>
      </c>
      <c r="L3" s="6">
        <f>'Keräysteho kplh'!B4</f>
        <v>117</v>
      </c>
      <c r="M3" s="352"/>
      <c r="N3" s="353"/>
      <c r="O3" s="2"/>
      <c r="P3" s="6" t="s">
        <v>5</v>
      </c>
      <c r="Q3" s="6">
        <f>'Keräysteho kplh'!B7</f>
        <v>30</v>
      </c>
      <c r="R3" s="352"/>
      <c r="S3" s="353"/>
      <c r="T3" s="2"/>
    </row>
    <row r="4" spans="1:28">
      <c r="A4" s="11" t="s">
        <v>6</v>
      </c>
      <c r="B4" s="12" t="s">
        <v>7</v>
      </c>
      <c r="C4" s="11" t="s">
        <v>8</v>
      </c>
      <c r="D4" s="11" t="s">
        <v>9</v>
      </c>
      <c r="E4" s="5"/>
      <c r="F4" s="11" t="s">
        <v>6</v>
      </c>
      <c r="G4" s="12" t="s">
        <v>7</v>
      </c>
      <c r="H4" s="11" t="s">
        <v>8</v>
      </c>
      <c r="I4" s="11" t="s">
        <v>9</v>
      </c>
      <c r="J4" s="5"/>
      <c r="K4" s="11" t="s">
        <v>6</v>
      </c>
      <c r="L4" s="12" t="s">
        <v>7</v>
      </c>
      <c r="M4" s="11" t="s">
        <v>8</v>
      </c>
      <c r="N4" s="11" t="s">
        <v>9</v>
      </c>
      <c r="O4" s="2"/>
      <c r="P4" s="47" t="s">
        <v>6</v>
      </c>
      <c r="Q4" s="80"/>
      <c r="R4" s="47" t="s">
        <v>8</v>
      </c>
      <c r="S4" s="47" t="s">
        <v>9</v>
      </c>
      <c r="T4" s="2"/>
    </row>
    <row r="5" spans="1:28">
      <c r="A5" s="66">
        <f ca="1">TODAY()+TIME(11,0,0)</f>
        <v>46322.458333333336</v>
      </c>
      <c r="B5" s="65">
        <v>0</v>
      </c>
      <c r="C5" s="73">
        <f ca="1">A5-D13</f>
        <v>4.3700231486582197E-2</v>
      </c>
      <c r="D5" s="9">
        <f ca="1">B5*C5</f>
        <v>0</v>
      </c>
      <c r="E5" s="3"/>
      <c r="F5" s="66">
        <f ca="1">TODAY()+TIME(11,0,0)</f>
        <v>46322.458333333336</v>
      </c>
      <c r="G5" s="65">
        <v>0</v>
      </c>
      <c r="H5" s="73">
        <f ca="1">F5-I13</f>
        <v>4.3700231486582197E-2</v>
      </c>
      <c r="I5" s="9">
        <f ca="1">G5*H5</f>
        <v>0</v>
      </c>
      <c r="J5" s="3"/>
      <c r="K5" s="66">
        <f ca="1">TODAY()+TIME(11,0,0)</f>
        <v>46322.458333333336</v>
      </c>
      <c r="L5" s="65">
        <v>0</v>
      </c>
      <c r="M5" s="73">
        <f ca="1">K5-N13</f>
        <v>4.3700231486582197E-2</v>
      </c>
      <c r="N5" s="9">
        <f ca="1">L5*M5</f>
        <v>0</v>
      </c>
      <c r="O5" s="2"/>
      <c r="P5" s="134" t="str">
        <f ca="1">S17</f>
        <v/>
      </c>
      <c r="Q5" s="65">
        <v>0</v>
      </c>
      <c r="R5" s="135" t="e">
        <f ca="1">P5-L25</f>
        <v>#VALUE!</v>
      </c>
      <c r="S5" s="126" t="e">
        <f ca="1">R5*Q5</f>
        <v>#VALUE!</v>
      </c>
      <c r="T5" s="2"/>
    </row>
    <row r="6" spans="1:28">
      <c r="A6" s="66">
        <f ca="1">TODAY()+TIME(12,0,0)</f>
        <v>46322.5</v>
      </c>
      <c r="B6" s="65">
        <v>0</v>
      </c>
      <c r="C6" s="73">
        <f ca="1">A6-D13</f>
        <v>8.5366898150823545E-2</v>
      </c>
      <c r="D6" s="9">
        <f ca="1">B6*C6</f>
        <v>0</v>
      </c>
      <c r="E6" s="3"/>
      <c r="F6" s="66">
        <f ca="1">TODAY()+TIME(12,0,0)</f>
        <v>46322.5</v>
      </c>
      <c r="G6" s="65">
        <v>0</v>
      </c>
      <c r="H6" s="73">
        <f ca="1">F6-I13</f>
        <v>8.5366898150823545E-2</v>
      </c>
      <c r="I6" s="9">
        <f ca="1">G6*H6</f>
        <v>0</v>
      </c>
      <c r="J6" s="3"/>
      <c r="K6" s="66">
        <f ca="1">TODAY()+TIME(12,0,0)</f>
        <v>46322.5</v>
      </c>
      <c r="L6" s="65">
        <v>0</v>
      </c>
      <c r="M6" s="73">
        <f ca="1">K6-N13</f>
        <v>8.5366898150823545E-2</v>
      </c>
      <c r="N6" s="9">
        <f ca="1">L6*M6</f>
        <v>0</v>
      </c>
      <c r="O6" s="133"/>
      <c r="P6" s="11" t="s">
        <v>10</v>
      </c>
      <c r="Q6" s="9" t="e">
        <f ca="1">S5</f>
        <v>#VALUE!</v>
      </c>
      <c r="R6" s="11" t="s">
        <v>11</v>
      </c>
      <c r="S6" s="6">
        <f>Q5</f>
        <v>0</v>
      </c>
      <c r="T6" s="41"/>
    </row>
    <row r="7" spans="1:28">
      <c r="A7" s="66">
        <f ca="1">TODAY()+TIME(13,0,0)</f>
        <v>46322.541666666664</v>
      </c>
      <c r="B7" s="65">
        <v>0</v>
      </c>
      <c r="C7" s="73">
        <f ca="1">A7-D13</f>
        <v>0.12703356481506489</v>
      </c>
      <c r="D7" s="9">
        <f ca="1">B7*C7</f>
        <v>0</v>
      </c>
      <c r="E7" s="3"/>
      <c r="F7" s="66">
        <f ca="1">TODAY()+TIME(13,0,0)</f>
        <v>46322.541666666664</v>
      </c>
      <c r="G7" s="65">
        <v>0</v>
      </c>
      <c r="H7" s="73">
        <f ca="1">F7-I13</f>
        <v>0.12703356481506489</v>
      </c>
      <c r="I7" s="9">
        <f ca="1">G7*H7</f>
        <v>0</v>
      </c>
      <c r="J7" s="3"/>
      <c r="K7" s="66">
        <f ca="1">TODAY()+TIME(13,0,0)</f>
        <v>46322.541666666664</v>
      </c>
      <c r="L7" s="65">
        <v>0</v>
      </c>
      <c r="M7" s="73">
        <f ca="1">K7-N13</f>
        <v>0.12703356481506489</v>
      </c>
      <c r="N7" s="9">
        <f ca="1">L7*M7</f>
        <v>0</v>
      </c>
      <c r="O7" s="133"/>
      <c r="P7" s="11" t="s">
        <v>12</v>
      </c>
      <c r="Q7" s="10" t="e">
        <f>Q2/(Q5)</f>
        <v>#DIV/0!</v>
      </c>
      <c r="R7" s="350"/>
      <c r="S7" s="351"/>
      <c r="T7" s="41"/>
    </row>
    <row r="8" spans="1:28">
      <c r="A8" s="66">
        <f ca="1">TODAY()+TIME(14,0,0)</f>
        <v>46322.583333333336</v>
      </c>
      <c r="B8" s="65">
        <v>0</v>
      </c>
      <c r="C8" s="73">
        <f ca="1">A8-D13</f>
        <v>0.1687002314865822</v>
      </c>
      <c r="D8" s="9">
        <f ca="1">B8*C8</f>
        <v>0</v>
      </c>
      <c r="E8" s="3"/>
      <c r="F8" s="66">
        <f ca="1">TODAY()+TIME(14,0,0)</f>
        <v>46322.583333333336</v>
      </c>
      <c r="G8" s="65">
        <v>0</v>
      </c>
      <c r="H8" s="73">
        <f ca="1">F8-I13</f>
        <v>0.1687002314865822</v>
      </c>
      <c r="I8" s="9">
        <f ca="1">G8*H8</f>
        <v>0</v>
      </c>
      <c r="J8" s="3"/>
      <c r="K8" s="66">
        <f ca="1">TODAY()+TIME(14,0,0)</f>
        <v>46322.583333333336</v>
      </c>
      <c r="L8" s="65">
        <v>0</v>
      </c>
      <c r="M8" s="73">
        <f ca="1">K8-N13</f>
        <v>0.1687002314865822</v>
      </c>
      <c r="N8" s="9">
        <f ca="1">L8*M8</f>
        <v>0</v>
      </c>
      <c r="O8" s="133"/>
      <c r="P8" s="11" t="s">
        <v>13</v>
      </c>
      <c r="Q8" s="9" t="e">
        <f>Q2/(Q3*(Q5))/24</f>
        <v>#DIV/0!</v>
      </c>
      <c r="R8" s="354"/>
      <c r="S8" s="355"/>
      <c r="T8" s="41"/>
    </row>
    <row r="9" spans="1:28">
      <c r="A9" s="66">
        <f ca="1">TODAY()+TIME(15,0,0)</f>
        <v>46322.625</v>
      </c>
      <c r="B9" s="65">
        <v>0</v>
      </c>
      <c r="C9" s="73">
        <f ca="1">A9-D13</f>
        <v>0.21036689815082354</v>
      </c>
      <c r="D9" s="9">
        <f ca="1">B9*C9</f>
        <v>0</v>
      </c>
      <c r="E9" s="2"/>
      <c r="F9" s="66">
        <f ca="1">TODAY()+TIME(15,0,0)</f>
        <v>46322.625</v>
      </c>
      <c r="G9" s="65">
        <v>0</v>
      </c>
      <c r="H9" s="73">
        <f ca="1">F9-I13</f>
        <v>0.21036689815082354</v>
      </c>
      <c r="I9" s="9">
        <f ca="1">G9*H9</f>
        <v>0</v>
      </c>
      <c r="J9" s="2"/>
      <c r="K9" s="66">
        <f ca="1">TODAY()+TIME(15,0,0)</f>
        <v>46322.625</v>
      </c>
      <c r="L9" s="65">
        <v>0</v>
      </c>
      <c r="M9" s="73">
        <f ca="1">K9-N13</f>
        <v>0.21036689815082354</v>
      </c>
      <c r="N9" s="9">
        <f ca="1">L9*M9</f>
        <v>0</v>
      </c>
      <c r="O9" s="133"/>
      <c r="P9" s="11" t="s">
        <v>14</v>
      </c>
      <c r="Q9" s="8" t="str">
        <f ca="1">IFERROR(L25+Q8+IF(Q2&gt;=400,TIME(0,24,0),0),"")</f>
        <v/>
      </c>
      <c r="R9" s="352"/>
      <c r="S9" s="353"/>
      <c r="T9" s="41"/>
    </row>
    <row r="10" spans="1:28">
      <c r="A10" s="11" t="s">
        <v>10</v>
      </c>
      <c r="B10" s="9">
        <f ca="1">D5+D6+D7+D8+D9</f>
        <v>0</v>
      </c>
      <c r="C10" s="11" t="s">
        <v>11</v>
      </c>
      <c r="D10" s="6">
        <f>B9+B8+B7+B6+B5</f>
        <v>0</v>
      </c>
      <c r="E10" s="2"/>
      <c r="F10" s="11" t="s">
        <v>10</v>
      </c>
      <c r="G10" s="9">
        <f ca="1">I5+I6+I7+I8+I9</f>
        <v>0</v>
      </c>
      <c r="H10" s="11" t="s">
        <v>11</v>
      </c>
      <c r="I10" s="6">
        <f>G9+G8+G7+G6+G5</f>
        <v>0</v>
      </c>
      <c r="J10" s="2"/>
      <c r="K10" s="11" t="s">
        <v>10</v>
      </c>
      <c r="L10" s="9">
        <f ca="1">N9+N8+N7+N6+N5</f>
        <v>0</v>
      </c>
      <c r="M10" s="47" t="s">
        <v>11</v>
      </c>
      <c r="N10" s="232">
        <f>L9+L8+L7+L6+L5</f>
        <v>0</v>
      </c>
      <c r="O10" s="2"/>
      <c r="P10" s="41"/>
      <c r="Q10" s="2"/>
      <c r="R10" s="2"/>
      <c r="S10" s="2"/>
      <c r="T10" s="2"/>
    </row>
    <row r="11" spans="1:28">
      <c r="A11" s="11" t="s">
        <v>12</v>
      </c>
      <c r="B11" s="10" t="e">
        <f>B2/(B6+B7+B8+B9)</f>
        <v>#DIV/0!</v>
      </c>
      <c r="C11" s="136"/>
      <c r="D11" s="138"/>
      <c r="E11" s="2"/>
      <c r="F11" s="11" t="s">
        <v>12</v>
      </c>
      <c r="G11" s="10" t="e">
        <f>G2/(G6+G7+G8+G9)</f>
        <v>#DIV/0!</v>
      </c>
      <c r="H11" s="136"/>
      <c r="I11" s="138"/>
      <c r="J11" s="2"/>
      <c r="K11" s="11" t="s">
        <v>12</v>
      </c>
      <c r="L11" s="230" t="e">
        <f>L2/(L6+L7+L8+L9)</f>
        <v>#DIV/0!</v>
      </c>
      <c r="M11" s="235"/>
      <c r="N11" s="236"/>
      <c r="O11" s="41"/>
      <c r="P11" s="121" t="s">
        <v>15</v>
      </c>
      <c r="Q11" s="122"/>
      <c r="R11" s="124" t="s">
        <v>16</v>
      </c>
      <c r="S11" s="124"/>
      <c r="T11" s="2"/>
    </row>
    <row r="12" spans="1:28">
      <c r="A12" s="11" t="s">
        <v>13</v>
      </c>
      <c r="B12" s="9" t="e">
        <f>B2/(B3*(B6+B7+B8+B9+B5))/24</f>
        <v>#DIV/0!</v>
      </c>
      <c r="C12" s="137"/>
      <c r="D12" s="139"/>
      <c r="E12" s="2"/>
      <c r="F12" s="11" t="s">
        <v>13</v>
      </c>
      <c r="G12" s="9" t="e">
        <f>G2/(G3*(G6+G7+G8+G9+G5))/24</f>
        <v>#DIV/0!</v>
      </c>
      <c r="H12" s="137"/>
      <c r="I12" s="139"/>
      <c r="J12" s="2"/>
      <c r="K12" s="11" t="s">
        <v>13</v>
      </c>
      <c r="L12" s="231" t="e">
        <f>L2/(L3*(L6+L7+L8+L9+L5))/24</f>
        <v>#DIV/0!</v>
      </c>
      <c r="M12" s="237"/>
      <c r="N12" s="238"/>
      <c r="O12" s="41"/>
      <c r="P12" s="67" t="s">
        <v>1</v>
      </c>
      <c r="Q12" s="65">
        <v>0</v>
      </c>
      <c r="R12" s="58" t="s">
        <v>1</v>
      </c>
      <c r="S12" s="20" t="str">
        <f ca="1">B13</f>
        <v/>
      </c>
      <c r="T12" s="2"/>
      <c r="U12" s="186"/>
    </row>
    <row r="13" spans="1:28">
      <c r="A13" s="11" t="s">
        <v>14</v>
      </c>
      <c r="B13" s="8" t="str">
        <f ca="1">IFERROR(D13+B12+IF(B2&gt;=3000,TIME(0,24,0),0),"")</f>
        <v/>
      </c>
      <c r="C13" s="11" t="s">
        <v>17</v>
      </c>
      <c r="D13" s="8">
        <f ca="1">NOW()</f>
        <v>46322.414633101849</v>
      </c>
      <c r="E13" s="2"/>
      <c r="F13" s="11" t="s">
        <v>14</v>
      </c>
      <c r="G13" s="8" t="str">
        <f ca="1">IFERROR(I13+G12+IF(G2&gt;=1500,TIME(0,24,0),0),"")</f>
        <v/>
      </c>
      <c r="H13" s="11" t="s">
        <v>17</v>
      </c>
      <c r="I13" s="8">
        <f ca="1">NOW()</f>
        <v>46322.414633101849</v>
      </c>
      <c r="J13" s="2"/>
      <c r="K13" s="11" t="s">
        <v>14</v>
      </c>
      <c r="L13" s="8" t="str">
        <f ca="1">IFERROR(N13+L12+IF(L2&gt;=400,TIME(0,24,0),0),"")</f>
        <v/>
      </c>
      <c r="M13" s="233" t="s">
        <v>17</v>
      </c>
      <c r="N13" s="234">
        <f ca="1">NOW()</f>
        <v>46322.414633101849</v>
      </c>
      <c r="O13" s="2"/>
      <c r="P13" s="68" t="s">
        <v>0</v>
      </c>
      <c r="Q13" s="65">
        <v>0</v>
      </c>
      <c r="R13" s="59" t="s">
        <v>0</v>
      </c>
      <c r="S13" s="20" t="str">
        <f ca="1">G13</f>
        <v/>
      </c>
      <c r="T13" s="2"/>
    </row>
    <row r="14" spans="1:28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9"/>
      <c r="O14" s="2"/>
      <c r="P14" s="69" t="s">
        <v>2</v>
      </c>
      <c r="Q14" s="65">
        <v>0</v>
      </c>
      <c r="R14" s="60" t="s">
        <v>2</v>
      </c>
      <c r="S14" s="20" t="str">
        <f ca="1">L13</f>
        <v/>
      </c>
      <c r="T14" s="2"/>
    </row>
    <row r="15" spans="1:28">
      <c r="A15" s="150" t="s">
        <v>18</v>
      </c>
      <c r="B15" s="151"/>
      <c r="C15" s="151"/>
      <c r="D15" s="152"/>
      <c r="E15" s="2"/>
      <c r="F15" s="153" t="s">
        <v>19</v>
      </c>
      <c r="G15" s="154"/>
      <c r="H15" s="154"/>
      <c r="I15" s="155"/>
      <c r="J15" s="2"/>
      <c r="K15" s="86" t="s">
        <v>20</v>
      </c>
      <c r="L15" s="87" t="e">
        <f ca="1">N29-N28-(L17/24)</f>
        <v>#DIV/0!</v>
      </c>
      <c r="M15" s="86" t="s">
        <v>21</v>
      </c>
      <c r="N15" s="88" t="e">
        <f ca="1">N16+(L16*L17)</f>
        <v>#DIV/0!</v>
      </c>
      <c r="O15" s="2"/>
      <c r="P15" s="70" t="s">
        <v>18</v>
      </c>
      <c r="Q15" s="65">
        <v>0</v>
      </c>
      <c r="R15" s="61" t="s">
        <v>18</v>
      </c>
      <c r="S15" s="20" t="str">
        <f ca="1">B27</f>
        <v/>
      </c>
      <c r="T15" s="2"/>
      <c r="AB15">
        <f ca="1">IFERROR(((N17-N16)/L16)/24,0)+IF(AA26&lt;0,-AA26,0)</f>
        <v>0</v>
      </c>
    </row>
    <row r="16" spans="1:28">
      <c r="A16" s="11" t="s">
        <v>4</v>
      </c>
      <c r="B16" s="6">
        <f>Q15</f>
        <v>0</v>
      </c>
      <c r="C16" s="136"/>
      <c r="D16" s="138"/>
      <c r="E16" s="2"/>
      <c r="F16" s="11" t="s">
        <v>4</v>
      </c>
      <c r="G16" s="6">
        <f>Q16</f>
        <v>0</v>
      </c>
      <c r="H16" s="136"/>
      <c r="I16" s="138"/>
      <c r="J16" s="2"/>
      <c r="K16" s="12" t="s">
        <v>22</v>
      </c>
      <c r="L16" s="90" t="e">
        <f ca="1">(B3*B10+G3*G10+L3*L10+B17*B24+G17*G24)/
(B10+G10+L10+B24+G24)</f>
        <v>#DIV/0!</v>
      </c>
      <c r="M16" s="86" t="s">
        <v>23</v>
      </c>
      <c r="N16" s="89" t="e">
        <f ca="1">L16*N28*24</f>
        <v>#DIV/0!</v>
      </c>
      <c r="O16" s="2"/>
      <c r="P16" s="71" t="s">
        <v>19</v>
      </c>
      <c r="Q16" s="65">
        <v>0</v>
      </c>
      <c r="R16" s="62" t="s">
        <v>19</v>
      </c>
      <c r="S16" s="20" t="str">
        <f ca="1">G27</f>
        <v/>
      </c>
      <c r="T16" s="2"/>
    </row>
    <row r="17" spans="1:27">
      <c r="A17" s="11" t="s">
        <v>5</v>
      </c>
      <c r="B17" s="6">
        <f>'Keräysteho kplh'!B5</f>
        <v>438</v>
      </c>
      <c r="C17" s="137"/>
      <c r="D17" s="139"/>
      <c r="E17" s="2"/>
      <c r="F17" s="11" t="s">
        <v>5</v>
      </c>
      <c r="G17" s="6">
        <f>'Keräysteho kplh'!B6</f>
        <v>400</v>
      </c>
      <c r="H17" s="137"/>
      <c r="I17" s="139"/>
      <c r="J17" s="2"/>
      <c r="K17" s="175" t="s">
        <v>24</v>
      </c>
      <c r="L17" s="222"/>
      <c r="M17" s="12" t="s">
        <v>25</v>
      </c>
      <c r="N17" s="13">
        <f>B2+G2+L2+B16+G16</f>
        <v>0</v>
      </c>
      <c r="O17" s="2"/>
      <c r="P17" s="72" t="s">
        <v>3</v>
      </c>
      <c r="Q17" s="65">
        <v>0</v>
      </c>
      <c r="R17" s="63" t="s">
        <v>3</v>
      </c>
      <c r="S17" s="8" t="str">
        <f ca="1">Q9</f>
        <v/>
      </c>
      <c r="T17" s="19"/>
    </row>
    <row r="18" spans="1:27">
      <c r="A18" s="11" t="s">
        <v>6</v>
      </c>
      <c r="B18" s="12" t="s">
        <v>7</v>
      </c>
      <c r="C18" s="11" t="s">
        <v>8</v>
      </c>
      <c r="D18" s="11" t="s">
        <v>9</v>
      </c>
      <c r="E18" s="5"/>
      <c r="F18" s="11" t="s">
        <v>6</v>
      </c>
      <c r="G18" s="12" t="s">
        <v>7</v>
      </c>
      <c r="H18" s="11" t="s">
        <v>8</v>
      </c>
      <c r="I18" s="11" t="s">
        <v>9</v>
      </c>
      <c r="J18" s="2"/>
      <c r="K18" s="209" t="s">
        <v>26</v>
      </c>
      <c r="L18" s="210">
        <f>L26*24/1440</f>
        <v>0</v>
      </c>
      <c r="M18" s="211" t="s">
        <v>27</v>
      </c>
      <c r="N18" s="211">
        <f>B2+G2+L2+Q2+B16+G16</f>
        <v>0</v>
      </c>
      <c r="O18" s="2"/>
      <c r="P18" s="46" t="s">
        <v>28</v>
      </c>
      <c r="Q18" s="82">
        <f>Q12+Q13+Q14+Q15+Q16+Q17</f>
        <v>0</v>
      </c>
      <c r="R18" s="33" t="s">
        <v>28</v>
      </c>
      <c r="S18" s="8">
        <f ca="1">L28</f>
        <v>0</v>
      </c>
      <c r="T18" s="19"/>
      <c r="U18" s="115"/>
      <c r="V18" s="116"/>
    </row>
    <row r="19" spans="1:27">
      <c r="A19" s="66">
        <f ca="1">TODAY()+TIME(11,0,0)</f>
        <v>46322.458333333336</v>
      </c>
      <c r="B19" s="65">
        <v>0</v>
      </c>
      <c r="C19" s="73">
        <f ca="1">A19-D27</f>
        <v>4.3700231486582197E-2</v>
      </c>
      <c r="D19" s="9">
        <f ca="1">B19*C19</f>
        <v>0</v>
      </c>
      <c r="E19" s="2"/>
      <c r="F19" s="66">
        <f ca="1">TODAY()+TIME(11,0,0)</f>
        <v>46322.458333333336</v>
      </c>
      <c r="G19" s="65">
        <v>0</v>
      </c>
      <c r="H19" s="73">
        <f ca="1">F19-I27</f>
        <v>4.3700231486582197E-2</v>
      </c>
      <c r="I19" s="9">
        <f ca="1">G19*H19</f>
        <v>0</v>
      </c>
      <c r="J19" s="174"/>
      <c r="K19" s="206" t="s">
        <v>6</v>
      </c>
      <c r="L19" s="206" t="s">
        <v>29</v>
      </c>
      <c r="M19" s="207" t="s">
        <v>30</v>
      </c>
      <c r="N19" s="208" t="e">
        <f ca="1">(B3*B10+G3*G10+L3*L10+Q3*Q6+B17*B24+G17*G24)/
(B10+G10+L10+Q6+B24+G24)</f>
        <v>#VALUE!</v>
      </c>
      <c r="O19" s="2"/>
      <c r="P19" s="201" t="s">
        <v>57</v>
      </c>
      <c r="Q19" s="202"/>
      <c r="R19" s="202" t="s">
        <v>50</v>
      </c>
      <c r="S19" s="202"/>
      <c r="T19" s="19"/>
      <c r="U19" s="115"/>
      <c r="V19" s="117"/>
      <c r="X19" s="114"/>
    </row>
    <row r="20" spans="1:27">
      <c r="A20" s="66">
        <f ca="1">TODAY()+TIME(12,0,0)</f>
        <v>46322.5</v>
      </c>
      <c r="B20" s="65">
        <v>0</v>
      </c>
      <c r="C20" s="73">
        <f ca="1">A20-D27</f>
        <v>8.5366898150823545E-2</v>
      </c>
      <c r="D20" s="9">
        <f ca="1">B20*C20</f>
        <v>0</v>
      </c>
      <c r="E20" s="2"/>
      <c r="F20" s="66">
        <f ca="1">TODAY()+TIME(12,0,0)</f>
        <v>46322.5</v>
      </c>
      <c r="G20" s="65">
        <v>0</v>
      </c>
      <c r="H20" s="73">
        <f ca="1">F20-I27</f>
        <v>8.5366898150823545E-2</v>
      </c>
      <c r="I20" s="9">
        <f ca="1">G20*H20</f>
        <v>0</v>
      </c>
      <c r="J20" s="2"/>
      <c r="K20" s="212">
        <f ca="1">TODAY()+TIME(11,0,0)</f>
        <v>46322.458333333336</v>
      </c>
      <c r="L20" s="213">
        <f>G19+B19+B5+G5+L5</f>
        <v>0</v>
      </c>
      <c r="M20" s="214">
        <f ca="1">K20-L25</f>
        <v>4.3700231486582197E-2</v>
      </c>
      <c r="N20" s="215">
        <f ca="1">L20*M20</f>
        <v>0</v>
      </c>
      <c r="O20" s="19"/>
      <c r="P20" s="356" t="s">
        <v>31</v>
      </c>
      <c r="Q20" s="357"/>
      <c r="R20" s="356" t="s">
        <v>32</v>
      </c>
      <c r="S20" s="357"/>
      <c r="T20" s="200"/>
      <c r="U20" s="115"/>
      <c r="V20" s="117"/>
      <c r="X20" s="114"/>
    </row>
    <row r="21" spans="1:27">
      <c r="A21" s="66">
        <f ca="1">TODAY()+TIME(13,0,0)</f>
        <v>46322.541666666664</v>
      </c>
      <c r="B21" s="65">
        <v>0</v>
      </c>
      <c r="C21" s="73">
        <f ca="1">A21-D27</f>
        <v>0.12703356481506489</v>
      </c>
      <c r="D21" s="9">
        <f ca="1">B21*C21</f>
        <v>0</v>
      </c>
      <c r="E21" s="2"/>
      <c r="F21" s="66">
        <f ca="1">TODAY()+TIME(13,0,0)</f>
        <v>46322.541666666664</v>
      </c>
      <c r="G21" s="65">
        <v>0</v>
      </c>
      <c r="H21" s="73">
        <f ca="1">F21-I27</f>
        <v>0.12703356481506489</v>
      </c>
      <c r="I21" s="9">
        <f ca="1">G21*H21</f>
        <v>0</v>
      </c>
      <c r="J21" s="2"/>
      <c r="K21" s="14">
        <f ca="1">TODAY()+TIME(12,0,0)</f>
        <v>46322.5</v>
      </c>
      <c r="L21" s="13">
        <f>G20+B20+B6+G6+L6</f>
        <v>0</v>
      </c>
      <c r="M21" s="15">
        <f ca="1">K21-L25</f>
        <v>8.5366898150823545E-2</v>
      </c>
      <c r="N21" s="54">
        <f ca="1">L21*M21</f>
        <v>0</v>
      </c>
      <c r="O21" s="19"/>
      <c r="P21" s="191" t="s">
        <v>33</v>
      </c>
      <c r="Q21" s="65">
        <v>0</v>
      </c>
      <c r="R21" s="192" t="s">
        <v>34</v>
      </c>
      <c r="S21" s="187">
        <f>Q21/25</f>
        <v>0</v>
      </c>
      <c r="T21" s="200"/>
      <c r="U21" s="115"/>
      <c r="V21" s="117"/>
      <c r="X21" s="114"/>
    </row>
    <row r="22" spans="1:27">
      <c r="A22" s="66">
        <f ca="1">TODAY()+TIME(14,0,0)</f>
        <v>46322.583333333336</v>
      </c>
      <c r="B22" s="65">
        <v>0</v>
      </c>
      <c r="C22" s="73">
        <f ca="1">A22-D27</f>
        <v>0.1687002314865822</v>
      </c>
      <c r="D22" s="9">
        <f ca="1">B22*C22</f>
        <v>0</v>
      </c>
      <c r="E22" s="2"/>
      <c r="F22" s="66">
        <f ca="1">TODAY()+TIME(14,0,0)</f>
        <v>46322.583333333336</v>
      </c>
      <c r="G22" s="65">
        <v>0</v>
      </c>
      <c r="H22" s="73">
        <f ca="1">F22-I27</f>
        <v>0.1687002314865822</v>
      </c>
      <c r="I22" s="9">
        <f ca="1">G22*H22</f>
        <v>0</v>
      </c>
      <c r="J22" s="2"/>
      <c r="K22" s="14">
        <f ca="1">TODAY()+TIME(13,0,0)</f>
        <v>46322.541666666664</v>
      </c>
      <c r="L22" s="13">
        <f>G21+B21+B7+G7+L7</f>
        <v>0</v>
      </c>
      <c r="M22" s="15">
        <f ca="1">K22-L25</f>
        <v>0.12703356481506489</v>
      </c>
      <c r="N22" s="54">
        <f ca="1">L22*M22</f>
        <v>0</v>
      </c>
      <c r="O22" s="19"/>
      <c r="P22" s="181" t="s">
        <v>1</v>
      </c>
      <c r="Q22" s="65">
        <v>0</v>
      </c>
      <c r="R22" s="193" t="s">
        <v>34</v>
      </c>
      <c r="S22" s="194">
        <f>B32</f>
        <v>0</v>
      </c>
      <c r="T22" s="200">
        <v>47</v>
      </c>
      <c r="U22" s="115"/>
      <c r="V22" s="117"/>
    </row>
    <row r="23" spans="1:27">
      <c r="A23" s="66">
        <f ca="1">TODAY()+TIME(15,0,0)</f>
        <v>46322.625</v>
      </c>
      <c r="B23" s="65">
        <v>0</v>
      </c>
      <c r="C23" s="73">
        <f ca="1">A23-D27</f>
        <v>0.21036689815082354</v>
      </c>
      <c r="D23" s="9">
        <f ca="1">B23*C23</f>
        <v>0</v>
      </c>
      <c r="E23" s="2"/>
      <c r="F23" s="66">
        <f ca="1">TODAY()+TIME(15,0,0)</f>
        <v>46322.625</v>
      </c>
      <c r="G23" s="65">
        <v>0</v>
      </c>
      <c r="H23" s="92">
        <f ca="1">F23-I27</f>
        <v>0.21036689815082354</v>
      </c>
      <c r="I23" s="9">
        <f ca="1">G23*H23</f>
        <v>0</v>
      </c>
      <c r="J23" s="2"/>
      <c r="K23" s="50">
        <f ca="1">TODAY()+TIME(14,0,0)</f>
        <v>46322.583333333336</v>
      </c>
      <c r="L23" s="211">
        <f>G22+B22+B8+G8+L8</f>
        <v>0</v>
      </c>
      <c r="M23" s="127">
        <f ca="1">K23-L25</f>
        <v>0.1687002314865822</v>
      </c>
      <c r="N23" s="128">
        <f ca="1">L23*M23</f>
        <v>0</v>
      </c>
      <c r="O23" s="19"/>
      <c r="P23" s="182" t="s">
        <v>0</v>
      </c>
      <c r="Q23" s="65">
        <v>0</v>
      </c>
      <c r="R23" s="195" t="s">
        <v>34</v>
      </c>
      <c r="S23" s="194">
        <f>G32</f>
        <v>0</v>
      </c>
      <c r="T23" s="200"/>
      <c r="U23" s="115"/>
      <c r="V23" s="117"/>
      <c r="X23" s="114"/>
    </row>
    <row r="24" spans="1:27">
      <c r="A24" s="11" t="s">
        <v>10</v>
      </c>
      <c r="B24" s="9">
        <f ca="1">D23+D22+D21+D20+D19</f>
        <v>0</v>
      </c>
      <c r="C24" s="11" t="s">
        <v>11</v>
      </c>
      <c r="D24" s="6">
        <f>B23+B22+B21+B20+B19</f>
        <v>0</v>
      </c>
      <c r="E24" s="2"/>
      <c r="F24" s="11" t="s">
        <v>10</v>
      </c>
      <c r="G24" s="9">
        <f ca="1">I23+I22+I21+I20+I19</f>
        <v>0</v>
      </c>
      <c r="H24" s="11" t="s">
        <v>11</v>
      </c>
      <c r="I24" s="6">
        <f>G23+G22+G21+G20+G19</f>
        <v>0</v>
      </c>
      <c r="J24" s="2"/>
      <c r="K24" s="216">
        <f ca="1">TODAY()+TIME(15,0,0)</f>
        <v>46322.625</v>
      </c>
      <c r="L24" s="217">
        <f>G23+B23+B9+G9+L9</f>
        <v>0</v>
      </c>
      <c r="M24" s="218">
        <f ca="1">K24-L25</f>
        <v>0.21036689815082354</v>
      </c>
      <c r="N24" s="219">
        <f ca="1">L24*M24</f>
        <v>0</v>
      </c>
      <c r="O24" s="19"/>
      <c r="P24" s="183" t="s">
        <v>2</v>
      </c>
      <c r="Q24" s="65">
        <v>0</v>
      </c>
      <c r="R24" s="196" t="s">
        <v>35</v>
      </c>
      <c r="S24" s="194" t="s">
        <v>36</v>
      </c>
      <c r="T24" s="200"/>
      <c r="U24" s="115"/>
      <c r="V24" s="118"/>
      <c r="X24" s="114"/>
    </row>
    <row r="25" spans="1:27">
      <c r="A25" s="11" t="s">
        <v>12</v>
      </c>
      <c r="B25" s="10" t="e">
        <f>B16/(B20+B21+B22+B23)</f>
        <v>#DIV/0!</v>
      </c>
      <c r="C25" s="136"/>
      <c r="D25" s="138"/>
      <c r="E25" s="2"/>
      <c r="F25" s="11" t="s">
        <v>12</v>
      </c>
      <c r="G25" s="10" t="e">
        <f>G16/(G20+G21+G22+G23)</f>
        <v>#DIV/0!</v>
      </c>
      <c r="H25" s="136"/>
      <c r="I25" s="138"/>
      <c r="J25" s="2"/>
      <c r="K25" s="176" t="s">
        <v>17</v>
      </c>
      <c r="L25" s="212">
        <f ca="1">NOW()</f>
        <v>46322.414633101849</v>
      </c>
      <c r="M25" s="220" t="s">
        <v>37</v>
      </c>
      <c r="N25" s="221" t="str">
        <f ca="1">IF(AA25&lt;0,"-","")&amp;INT(ROUND(ABS(AA25)*1440,0)/60)&amp;":"&amp;TEXT(MOD(ROUND(ABS(AA25)*1440,0),60),"00")</f>
        <v>0:00</v>
      </c>
      <c r="O25" s="200"/>
      <c r="P25" s="185" t="s">
        <v>18</v>
      </c>
      <c r="Q25" s="65">
        <v>0</v>
      </c>
      <c r="R25" s="197" t="s">
        <v>38</v>
      </c>
      <c r="S25" s="194">
        <f>B38</f>
        <v>0</v>
      </c>
      <c r="T25" s="200"/>
      <c r="U25" s="119"/>
      <c r="V25" s="118"/>
      <c r="AA25">
        <f ca="1">N28-IFERROR((B2/B3+G2/G3+L2/L3+B16/B17+G16/G17)/24,0)+L17/24</f>
        <v>0</v>
      </c>
    </row>
    <row r="26" spans="1:27">
      <c r="A26" s="11" t="s">
        <v>13</v>
      </c>
      <c r="B26" s="9" t="e">
        <f>B16/(B17*(B20+B21+B22+B23+B19))/24</f>
        <v>#DIV/0!</v>
      </c>
      <c r="C26" s="137"/>
      <c r="D26" s="139"/>
      <c r="E26" s="2"/>
      <c r="F26" s="11" t="s">
        <v>13</v>
      </c>
      <c r="G26" s="9" t="e">
        <f>G16/(G17*(G20+G21+G22+G23+G19))/24</f>
        <v>#DIV/0!</v>
      </c>
      <c r="H26" s="137"/>
      <c r="I26" s="139"/>
      <c r="J26" s="2"/>
      <c r="K26" s="12" t="s">
        <v>11</v>
      </c>
      <c r="L26" s="205">
        <f>L24+L23+L22+L21+L20</f>
        <v>0</v>
      </c>
      <c r="M26" s="204" t="s">
        <v>39</v>
      </c>
      <c r="N26" s="228" t="str">
        <f ca="1">IF(AA26&lt;0,"-","")&amp;INT(ROUND(ABS(AA26)*1440,0)/60)&amp;":"&amp;TEXT(MOD(ROUND(ABS(AA26)*1440,0),60),"00")</f>
        <v>0:00</v>
      </c>
      <c r="O26" s="200"/>
      <c r="P26" s="184" t="s">
        <v>19</v>
      </c>
      <c r="Q26" s="65">
        <v>0</v>
      </c>
      <c r="R26" s="198" t="s">
        <v>38</v>
      </c>
      <c r="S26" s="194">
        <f>D38</f>
        <v>0</v>
      </c>
      <c r="T26" s="200"/>
      <c r="AA26">
        <f ca="1">AA25-L18</f>
        <v>0</v>
      </c>
    </row>
    <row r="27" spans="1:27">
      <c r="A27" s="47" t="s">
        <v>14</v>
      </c>
      <c r="B27" s="48" t="str">
        <f ca="1">IFERROR(D27+B26+IF(B16&gt;=5000,TIME(0,24,0),0),"")</f>
        <v/>
      </c>
      <c r="C27" s="11" t="s">
        <v>17</v>
      </c>
      <c r="D27" s="8">
        <f ca="1">NOW()</f>
        <v>46322.414633101849</v>
      </c>
      <c r="E27" s="43"/>
      <c r="F27" s="47" t="s">
        <v>14</v>
      </c>
      <c r="G27" s="48" t="str">
        <f ca="1">IFERROR(I27+G26+IF(G16&gt;=5000,TIME(0,24,0),0),"")</f>
        <v/>
      </c>
      <c r="H27" s="11" t="s">
        <v>17</v>
      </c>
      <c r="I27" s="8">
        <f ca="1">NOW()</f>
        <v>46322.414633101849</v>
      </c>
      <c r="J27" s="2"/>
      <c r="K27" s="12" t="s">
        <v>12</v>
      </c>
      <c r="L27" s="16" t="e">
        <f>N17/(L21+L22+L23+L24)</f>
        <v>#DIV/0!</v>
      </c>
      <c r="M27" s="204" t="s">
        <v>40</v>
      </c>
      <c r="N27" s="227">
        <f ca="1">ABS(AA26+AA25)/2</f>
        <v>0</v>
      </c>
      <c r="O27" s="200"/>
      <c r="P27" s="180" t="s">
        <v>3</v>
      </c>
      <c r="Q27" s="65">
        <v>0</v>
      </c>
      <c r="R27" s="199" t="s">
        <v>34</v>
      </c>
      <c r="S27" s="194">
        <f>L39</f>
        <v>0</v>
      </c>
      <c r="T27" s="41"/>
    </row>
    <row r="28" spans="1:27">
      <c r="A28" s="1"/>
      <c r="B28" s="1"/>
      <c r="C28" s="1"/>
      <c r="D28" s="1"/>
      <c r="F28" s="1"/>
      <c r="G28" s="1"/>
      <c r="H28" s="1"/>
      <c r="I28" s="1"/>
      <c r="J28" s="2"/>
      <c r="K28" s="49" t="s">
        <v>14</v>
      </c>
      <c r="L28" s="50">
        <f ca="1">MAX(IFERROR(B27*1,0),IFERROR(G27*1,0),IFERROR(L13*1,0),IFERROR(G13*1,0),IFERROR(B13*1,0),IFERROR(Q9*1,0))</f>
        <v>0</v>
      </c>
      <c r="M28" s="12" t="s">
        <v>10</v>
      </c>
      <c r="N28" s="15">
        <f ca="1">N21+N22+N23+N24+N20</f>
        <v>0</v>
      </c>
      <c r="O28" s="200"/>
      <c r="P28" s="190" t="s">
        <v>28</v>
      </c>
      <c r="Q28" s="189">
        <f>B31+D31+L34+L38+D37+B37</f>
        <v>0</v>
      </c>
      <c r="R28" s="190" t="s">
        <v>28</v>
      </c>
      <c r="S28" s="187">
        <f>S27+S26+S25+S23+S22+S21</f>
        <v>0</v>
      </c>
      <c r="T28" s="41"/>
    </row>
    <row r="29" spans="1:27">
      <c r="A29" s="144" t="s">
        <v>1</v>
      </c>
      <c r="B29" s="145"/>
      <c r="C29" s="145"/>
      <c r="D29" s="146"/>
      <c r="E29" s="2"/>
      <c r="F29" s="147" t="s">
        <v>0</v>
      </c>
      <c r="G29" s="148"/>
      <c r="H29" s="148"/>
      <c r="I29" s="149"/>
      <c r="J29" s="2"/>
      <c r="K29" s="49" t="s">
        <v>41</v>
      </c>
      <c r="L29" s="50">
        <f ca="1">L28+(L18/24)</f>
        <v>0</v>
      </c>
      <c r="M29" s="12" t="s">
        <v>42</v>
      </c>
      <c r="N29" s="229" t="e">
        <f ca="1">N17/L16/24</f>
        <v>#DIV/0!</v>
      </c>
      <c r="O29" s="200"/>
      <c r="P29" s="173" t="s">
        <v>43</v>
      </c>
      <c r="Q29" s="194" t="e">
        <f>Q28/L26</f>
        <v>#DIV/0!</v>
      </c>
      <c r="R29" s="173" t="s">
        <v>43</v>
      </c>
      <c r="S29" s="187" t="e">
        <f>S28/L26</f>
        <v>#DIV/0!</v>
      </c>
      <c r="T29" s="41"/>
    </row>
    <row r="30" spans="1:27">
      <c r="A30" s="17" t="s">
        <v>44</v>
      </c>
      <c r="B30" s="6">
        <f>B2</f>
        <v>0</v>
      </c>
      <c r="C30" s="11" t="s">
        <v>11</v>
      </c>
      <c r="D30" s="6">
        <f>D10</f>
        <v>0</v>
      </c>
      <c r="E30" s="2"/>
      <c r="F30" s="17" t="s">
        <v>44</v>
      </c>
      <c r="G30" s="6">
        <f>G2</f>
        <v>0</v>
      </c>
      <c r="H30" s="11" t="s">
        <v>11</v>
      </c>
      <c r="I30" s="6">
        <f>I10</f>
        <v>0</v>
      </c>
      <c r="J30" s="43"/>
      <c r="K30" s="226" t="s">
        <v>45</v>
      </c>
      <c r="L30" s="225">
        <f ca="1">AVERAGE(L28,L29)</f>
        <v>0</v>
      </c>
      <c r="M30" s="12" t="s">
        <v>46</v>
      </c>
      <c r="N30" s="9">
        <f>MAX(IFERROR(B26*1,0),IFERROR(G26*1,0),IFERROR(L12*1,0),IFERROR(G12*1,0),IFERROR(B12*1,0),IFERROR(Q8*1,0))</f>
        <v>0</v>
      </c>
      <c r="O30" s="41"/>
      <c r="P30" s="203"/>
      <c r="Q30" s="203"/>
      <c r="R30" s="203"/>
      <c r="S30" s="188"/>
      <c r="T30" s="2"/>
    </row>
    <row r="31" spans="1:27">
      <c r="A31" s="17" t="s">
        <v>47</v>
      </c>
      <c r="B31" s="6">
        <f>Q22</f>
        <v>0</v>
      </c>
      <c r="C31" s="136"/>
      <c r="D31" s="138"/>
      <c r="E31" s="2"/>
      <c r="F31" s="17" t="s">
        <v>47</v>
      </c>
      <c r="G31" s="6">
        <f>Q23</f>
        <v>0</v>
      </c>
      <c r="H31" s="136"/>
      <c r="I31" s="138"/>
      <c r="K31" s="52"/>
      <c r="L31" s="1"/>
      <c r="M31" s="1"/>
      <c r="N31" s="1"/>
      <c r="O31" s="19"/>
      <c r="P31" s="178" t="s">
        <v>48</v>
      </c>
      <c r="Q31" s="179"/>
      <c r="R31" s="168" t="s">
        <v>49</v>
      </c>
      <c r="S31" s="169"/>
      <c r="T31" s="41"/>
    </row>
    <row r="32" spans="1:27">
      <c r="A32" s="17" t="s">
        <v>50</v>
      </c>
      <c r="B32" s="18">
        <f>B31/9</f>
        <v>0</v>
      </c>
      <c r="C32" s="137"/>
      <c r="D32" s="139"/>
      <c r="E32" s="2"/>
      <c r="F32" s="17" t="s">
        <v>50</v>
      </c>
      <c r="G32" s="18">
        <f>G31/9</f>
        <v>0</v>
      </c>
      <c r="H32" s="137"/>
      <c r="I32" s="139"/>
      <c r="J32" s="2"/>
      <c r="K32" s="102" t="s">
        <v>2</v>
      </c>
      <c r="L32" s="102"/>
      <c r="M32" s="102"/>
      <c r="N32" s="105"/>
      <c r="O32" s="19"/>
      <c r="P32" s="358" t="s">
        <v>1</v>
      </c>
      <c r="Q32" s="358"/>
      <c r="R32" s="74" t="s">
        <v>34</v>
      </c>
      <c r="S32" s="170" t="e">
        <f>S22/D10</f>
        <v>#DIV/0!</v>
      </c>
      <c r="T32" s="41"/>
    </row>
    <row r="33" spans="1:20">
      <c r="A33" s="17" t="s">
        <v>51</v>
      </c>
      <c r="B33" s="18" t="e">
        <f>B32/D10</f>
        <v>#DIV/0!</v>
      </c>
      <c r="C33" s="140"/>
      <c r="D33" s="141"/>
      <c r="E33" s="2"/>
      <c r="F33" s="17" t="s">
        <v>51</v>
      </c>
      <c r="G33" s="18" t="e">
        <f>G32/I10</f>
        <v>#DIV/0!</v>
      </c>
      <c r="H33" s="140"/>
      <c r="I33" s="141"/>
      <c r="J33" s="2"/>
      <c r="K33" s="17" t="s">
        <v>44</v>
      </c>
      <c r="L33" s="6">
        <f>L2</f>
        <v>0</v>
      </c>
      <c r="M33" s="11" t="s">
        <v>11</v>
      </c>
      <c r="N33" s="57">
        <f>N10</f>
        <v>0</v>
      </c>
      <c r="O33" s="172"/>
      <c r="P33" s="359" t="s">
        <v>0</v>
      </c>
      <c r="Q33" s="359"/>
      <c r="R33" s="75" t="s">
        <v>34</v>
      </c>
      <c r="S33" s="170" t="e">
        <f>S23/I10</f>
        <v>#DIV/0!</v>
      </c>
      <c r="T33" s="167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17" t="s">
        <v>52</v>
      </c>
      <c r="L34" s="6">
        <f>Q24</f>
        <v>0</v>
      </c>
      <c r="M34" s="17" t="s">
        <v>43</v>
      </c>
      <c r="N34" s="18" t="e">
        <f>L34/N10</f>
        <v>#DIV/0!</v>
      </c>
      <c r="O34" s="19"/>
      <c r="P34" s="346" t="s">
        <v>2</v>
      </c>
      <c r="Q34" s="346"/>
      <c r="R34" s="76" t="s">
        <v>53</v>
      </c>
      <c r="S34" s="170" t="e">
        <f>N34</f>
        <v>#DIV/0!</v>
      </c>
      <c r="T34" s="167"/>
    </row>
    <row r="35" spans="1:20">
      <c r="A35" s="150" t="s">
        <v>18</v>
      </c>
      <c r="B35" s="151"/>
      <c r="C35" s="151"/>
      <c r="D35" s="152"/>
      <c r="E35" s="2"/>
      <c r="F35" s="153" t="s">
        <v>19</v>
      </c>
      <c r="G35" s="154"/>
      <c r="H35" s="154"/>
      <c r="I35" s="155"/>
      <c r="J35" s="2"/>
      <c r="K35" s="2"/>
      <c r="L35" s="2"/>
      <c r="M35" s="2"/>
      <c r="N35" s="19"/>
      <c r="O35" s="19"/>
      <c r="P35" s="365" t="s">
        <v>18</v>
      </c>
      <c r="Q35" s="365"/>
      <c r="R35" s="77" t="s">
        <v>38</v>
      </c>
      <c r="S35" s="170" t="e">
        <f>S25/D24</f>
        <v>#DIV/0!</v>
      </c>
      <c r="T35" s="41"/>
    </row>
    <row r="36" spans="1:20">
      <c r="A36" s="17" t="s">
        <v>44</v>
      </c>
      <c r="B36" s="6">
        <f>B16</f>
        <v>0</v>
      </c>
      <c r="C36" s="11" t="s">
        <v>11</v>
      </c>
      <c r="D36" s="6">
        <f>D16</f>
        <v>0</v>
      </c>
      <c r="E36" s="2"/>
      <c r="F36" s="17" t="s">
        <v>44</v>
      </c>
      <c r="G36" s="6">
        <f>G16</f>
        <v>0</v>
      </c>
      <c r="H36" s="11" t="s">
        <v>11</v>
      </c>
      <c r="I36" s="6">
        <f>I16</f>
        <v>0</v>
      </c>
      <c r="J36" s="2"/>
      <c r="K36" s="97" t="s">
        <v>3</v>
      </c>
      <c r="L36" s="97"/>
      <c r="M36" s="97"/>
      <c r="N36" s="101"/>
      <c r="O36" s="19"/>
      <c r="P36" s="366" t="s">
        <v>19</v>
      </c>
      <c r="Q36" s="366"/>
      <c r="R36" s="78" t="s">
        <v>38</v>
      </c>
      <c r="S36" s="170" t="e">
        <f>S26/I24</f>
        <v>#DIV/0!</v>
      </c>
      <c r="T36" s="41"/>
    </row>
    <row r="37" spans="1:20">
      <c r="A37" s="17" t="s">
        <v>47</v>
      </c>
      <c r="B37" s="6">
        <f>Q25</f>
        <v>0</v>
      </c>
      <c r="C37" s="136"/>
      <c r="D37" s="138"/>
      <c r="E37" s="2"/>
      <c r="F37" s="17" t="s">
        <v>47</v>
      </c>
      <c r="G37" s="6">
        <f>Q26</f>
        <v>0</v>
      </c>
      <c r="H37" s="157"/>
      <c r="I37" s="158"/>
      <c r="J37" s="142"/>
      <c r="K37" s="17" t="s">
        <v>44</v>
      </c>
      <c r="L37" s="6">
        <f>Q2</f>
        <v>0</v>
      </c>
      <c r="M37" s="11" t="s">
        <v>11</v>
      </c>
      <c r="N37" s="57">
        <f>S6</f>
        <v>0</v>
      </c>
      <c r="O37" s="19"/>
      <c r="P37" s="367" t="s">
        <v>3</v>
      </c>
      <c r="Q37" s="367"/>
      <c r="R37" s="177" t="s">
        <v>34</v>
      </c>
      <c r="S37" s="171" t="e">
        <f>S27/S6</f>
        <v>#DIV/0!</v>
      </c>
      <c r="T37" s="41"/>
    </row>
    <row r="38" spans="1:20" ht="15" customHeight="1">
      <c r="A38" s="17" t="s">
        <v>54</v>
      </c>
      <c r="B38" s="18">
        <f>B37/10</f>
        <v>0</v>
      </c>
      <c r="C38" s="137"/>
      <c r="D38" s="139"/>
      <c r="E38" s="2"/>
      <c r="F38" s="17" t="s">
        <v>54</v>
      </c>
      <c r="G38" s="18">
        <f>G37/10</f>
        <v>0</v>
      </c>
      <c r="H38" s="159"/>
      <c r="I38" s="160"/>
      <c r="J38" s="156"/>
      <c r="K38" s="17" t="s">
        <v>47</v>
      </c>
      <c r="L38" s="6">
        <f>Q27</f>
        <v>0</v>
      </c>
      <c r="M38" s="368"/>
      <c r="N38" s="369"/>
      <c r="O38" s="19"/>
      <c r="P38" s="406">
        <f ca="1">NOW()</f>
        <v>46322.414633101849</v>
      </c>
      <c r="Q38" s="408" t="s">
        <v>55</v>
      </c>
      <c r="R38" s="402">
        <f ca="1">I27</f>
        <v>46322.414633101849</v>
      </c>
      <c r="S38" s="403"/>
      <c r="T38" s="41"/>
    </row>
    <row r="39" spans="1:20" ht="15" customHeight="1">
      <c r="A39" s="17" t="s">
        <v>56</v>
      </c>
      <c r="B39" s="18" t="e">
        <f>B38/D24</f>
        <v>#DIV/0!</v>
      </c>
      <c r="C39" s="140"/>
      <c r="D39" s="141"/>
      <c r="E39" s="2"/>
      <c r="F39" s="17" t="s">
        <v>56</v>
      </c>
      <c r="G39" s="18" t="e">
        <f>G38/I24</f>
        <v>#DIV/0!</v>
      </c>
      <c r="H39" s="161"/>
      <c r="I39" s="162"/>
      <c r="J39" s="156"/>
      <c r="K39" s="17" t="s">
        <v>50</v>
      </c>
      <c r="L39" s="18">
        <f>L38/16</f>
        <v>0</v>
      </c>
      <c r="M39" s="17" t="s">
        <v>51</v>
      </c>
      <c r="N39" s="18" t="e">
        <f>L39/N37</f>
        <v>#DIV/0!</v>
      </c>
      <c r="O39" s="19"/>
      <c r="P39" s="407"/>
      <c r="Q39" s="409"/>
      <c r="R39" s="404"/>
      <c r="S39" s="405"/>
      <c r="T39" s="167"/>
    </row>
    <row r="40" spans="1:20">
      <c r="A40" s="43"/>
      <c r="B40" s="166"/>
      <c r="C40" s="43"/>
      <c r="D40" s="43"/>
      <c r="E40" s="43"/>
      <c r="F40" s="43"/>
      <c r="G40" s="166"/>
      <c r="H40" s="43"/>
      <c r="I40" s="43"/>
      <c r="J40" s="156"/>
      <c r="K40" s="43"/>
      <c r="L40" s="43"/>
      <c r="M40" s="43"/>
      <c r="N40" s="143"/>
      <c r="O40" s="43"/>
      <c r="P40" s="42"/>
      <c r="Q40" s="42"/>
      <c r="R40" s="42"/>
      <c r="S40" s="56"/>
      <c r="T40" s="43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20">
    <mergeCell ref="R38:S39"/>
    <mergeCell ref="P35:Q35"/>
    <mergeCell ref="P36:Q36"/>
    <mergeCell ref="P37:Q37"/>
    <mergeCell ref="M38:N38"/>
    <mergeCell ref="P38:P39"/>
    <mergeCell ref="Q38:Q39"/>
    <mergeCell ref="P34:Q34"/>
    <mergeCell ref="A1:D1"/>
    <mergeCell ref="F1:I1"/>
    <mergeCell ref="P1:S1"/>
    <mergeCell ref="C2:D3"/>
    <mergeCell ref="H2:I3"/>
    <mergeCell ref="M2:N3"/>
    <mergeCell ref="R2:S3"/>
    <mergeCell ref="R7:S9"/>
    <mergeCell ref="P20:Q20"/>
    <mergeCell ref="R20:S20"/>
    <mergeCell ref="P32:Q32"/>
    <mergeCell ref="P33:Q33"/>
  </mergeCells>
  <conditionalFormatting sqref="S12:S17">
    <cfRule type="cellIs" dxfId="101" priority="24" operator="equal">
      <formula>$S$18</formula>
    </cfRule>
  </conditionalFormatting>
  <conditionalFormatting sqref="N17:N18">
    <cfRule type="cellIs" dxfId="100" priority="21" stopIfTrue="1" operator="greaterThan">
      <formula>$N$16</formula>
    </cfRule>
  </conditionalFormatting>
  <conditionalFormatting sqref="N15">
    <cfRule type="cellIs" dxfId="99" priority="20" operator="greaterThan">
      <formula>$N$17</formula>
    </cfRule>
  </conditionalFormatting>
  <conditionalFormatting sqref="N17">
    <cfRule type="cellIs" dxfId="98" priority="19" operator="lessThan">
      <formula>$N$16</formula>
    </cfRule>
  </conditionalFormatting>
  <conditionalFormatting sqref="N15">
    <cfRule type="cellIs" dxfId="97" priority="18" operator="equal">
      <formula>$N$17</formula>
    </cfRule>
  </conditionalFormatting>
  <conditionalFormatting sqref="N15">
    <cfRule type="cellIs" dxfId="96" priority="17" operator="lessThan">
      <formula>$N$17</formula>
    </cfRule>
  </conditionalFormatting>
  <conditionalFormatting sqref="N18">
    <cfRule type="cellIs" dxfId="95" priority="16" operator="lessThan">
      <formula>$N$16</formula>
    </cfRule>
  </conditionalFormatting>
  <conditionalFormatting sqref="N18">
    <cfRule type="cellIs" dxfId="94" priority="15" operator="equal">
      <formula>$N$17</formula>
    </cfRule>
  </conditionalFormatting>
  <conditionalFormatting sqref="N19">
    <cfRule type="containsErrors" dxfId="93" priority="14">
      <formula>ISERROR(N19)</formula>
    </cfRule>
  </conditionalFormatting>
  <conditionalFormatting sqref="L15">
    <cfRule type="containsText" dxfId="92" priority="13" operator="containsText" text="-">
      <formula>NOT(ISERROR(SEARCH("-",L15)))</formula>
    </cfRule>
  </conditionalFormatting>
  <conditionalFormatting sqref="L15">
    <cfRule type="notContainsText" dxfId="91" priority="12" operator="notContains" text="-">
      <formula>ISERROR(SEARCH("-",L15))</formula>
    </cfRule>
  </conditionalFormatting>
  <conditionalFormatting sqref="L15">
    <cfRule type="cellIs" dxfId="90" priority="11" operator="equal">
      <formula>0</formula>
    </cfRule>
  </conditionalFormatting>
  <conditionalFormatting sqref="N26">
    <cfRule type="containsText" dxfId="89" priority="9" operator="containsText" text="-">
      <formula>NOT(ISERROR(SEARCH("-",N26)))</formula>
    </cfRule>
    <cfRule type="cellIs" dxfId="88" priority="10" operator="greaterThan">
      <formula>0</formula>
    </cfRule>
  </conditionalFormatting>
  <conditionalFormatting sqref="N25">
    <cfRule type="containsText" dxfId="87" priority="7" operator="containsText" text="-">
      <formula>NOT(ISERROR(SEARCH("-",N25)))</formula>
    </cfRule>
  </conditionalFormatting>
  <conditionalFormatting sqref="N25">
    <cfRule type="cellIs" dxfId="86" priority="8" operator="greaterThan">
      <formula>0</formula>
    </cfRule>
  </conditionalFormatting>
  <conditionalFormatting sqref="L15">
    <cfRule type="containsErrors" dxfId="85" priority="6">
      <formula>ISERROR(L15)</formula>
    </cfRule>
  </conditionalFormatting>
  <conditionalFormatting sqref="N25">
    <cfRule type="containsText" dxfId="84" priority="5" operator="containsText" text="0:00">
      <formula>NOT(ISERROR(SEARCH("0:00",N25)))</formula>
    </cfRule>
  </conditionalFormatting>
  <conditionalFormatting sqref="N26">
    <cfRule type="containsText" dxfId="83" priority="4" operator="containsText" text="0:00">
      <formula>NOT(ISERROR(SEARCH("0:00",N26)))</formula>
    </cfRule>
  </conditionalFormatting>
  <conditionalFormatting sqref="N27">
    <cfRule type="cellIs" dxfId="82" priority="3" operator="greaterThan">
      <formula>0</formula>
    </cfRule>
  </conditionalFormatting>
  <conditionalFormatting sqref="N27">
    <cfRule type="cellIs" dxfId="81" priority="2" operator="equal">
      <formula>0</formula>
    </cfRule>
  </conditionalFormatting>
  <conditionalFormatting sqref="N27">
    <cfRule type="containsText" dxfId="80" priority="1" operator="containsText" text="-">
      <formula>NOT(ISERROR(SEARCH("-",N27)))</formula>
    </cfRule>
  </conditionalFormatting>
  <conditionalFormatting sqref="N29">
    <cfRule type="cellIs" dxfId="79" priority="22" operator="greaterThan">
      <formula>$N$28</formula>
    </cfRule>
  </conditionalFormatting>
  <conditionalFormatting sqref="N29">
    <cfRule type="cellIs" dxfId="78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D841-ACCC-43D7-85B3-B47970370222}">
  <sheetPr>
    <tabColor rgb="FFFF00BB"/>
  </sheetPr>
  <dimension ref="A1:AB1675"/>
  <sheetViews>
    <sheetView showGridLines="0" showRowColHeaders="0" zoomScale="85" zoomScaleNormal="85" workbookViewId="0">
      <selection activeCell="D17" sqref="D17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374" t="s">
        <v>61</v>
      </c>
      <c r="B1" s="374"/>
      <c r="C1" s="374"/>
      <c r="D1" s="374"/>
      <c r="E1" s="2"/>
      <c r="F1" s="375" t="s">
        <v>62</v>
      </c>
      <c r="G1" s="375"/>
      <c r="H1" s="375"/>
      <c r="I1" s="375"/>
      <c r="J1" s="2"/>
      <c r="K1" s="102" t="s">
        <v>63</v>
      </c>
      <c r="L1" s="102"/>
      <c r="M1" s="102"/>
      <c r="N1" s="102"/>
      <c r="O1" s="2"/>
      <c r="P1" s="347" t="s">
        <v>64</v>
      </c>
      <c r="Q1" s="348"/>
      <c r="R1" s="348"/>
      <c r="S1" s="349"/>
      <c r="T1" s="2"/>
    </row>
    <row r="2" spans="1:28">
      <c r="A2" s="11" t="s">
        <v>65</v>
      </c>
      <c r="B2" s="6">
        <f>Q12</f>
        <v>0</v>
      </c>
      <c r="C2" s="350"/>
      <c r="D2" s="351"/>
      <c r="E2" s="2"/>
      <c r="F2" s="11" t="s">
        <v>65</v>
      </c>
      <c r="G2" s="6">
        <f>Q13</f>
        <v>0</v>
      </c>
      <c r="H2" s="398"/>
      <c r="I2" s="399"/>
      <c r="J2" s="2"/>
      <c r="K2" s="11" t="s">
        <v>65</v>
      </c>
      <c r="L2" s="6">
        <f>Q14</f>
        <v>0</v>
      </c>
      <c r="M2" s="350"/>
      <c r="N2" s="351"/>
      <c r="O2" s="2"/>
      <c r="P2" s="11" t="s">
        <v>65</v>
      </c>
      <c r="Q2" s="6">
        <f>Q17</f>
        <v>0</v>
      </c>
      <c r="R2" s="350"/>
      <c r="S2" s="351"/>
      <c r="T2" s="2"/>
    </row>
    <row r="3" spans="1:28">
      <c r="A3" s="11" t="s">
        <v>66</v>
      </c>
      <c r="B3" s="6">
        <f>'Keräysteho kplh'!B2</f>
        <v>178</v>
      </c>
      <c r="C3" s="352"/>
      <c r="D3" s="353"/>
      <c r="E3" s="2"/>
      <c r="F3" s="11" t="s">
        <v>66</v>
      </c>
      <c r="G3" s="6">
        <f>'Keräysteho kplh'!B3</f>
        <v>74</v>
      </c>
      <c r="H3" s="400"/>
      <c r="I3" s="401"/>
      <c r="J3" s="2"/>
      <c r="K3" s="11" t="s">
        <v>66</v>
      </c>
      <c r="L3" s="6">
        <f>'Keräysteho kplh'!B4</f>
        <v>117</v>
      </c>
      <c r="M3" s="352"/>
      <c r="N3" s="353"/>
      <c r="O3" s="2"/>
      <c r="P3" s="11" t="s">
        <v>66</v>
      </c>
      <c r="Q3" s="6">
        <f>'Keräysteho kplh'!B7</f>
        <v>30</v>
      </c>
      <c r="R3" s="352"/>
      <c r="S3" s="353"/>
      <c r="T3" s="2"/>
    </row>
    <row r="4" spans="1:28">
      <c r="A4" s="11" t="s">
        <v>67</v>
      </c>
      <c r="B4" s="12" t="s">
        <v>68</v>
      </c>
      <c r="C4" s="11" t="s">
        <v>69</v>
      </c>
      <c r="D4" s="11" t="s">
        <v>70</v>
      </c>
      <c r="E4" s="5"/>
      <c r="F4" s="11" t="s">
        <v>67</v>
      </c>
      <c r="G4" s="12" t="s">
        <v>68</v>
      </c>
      <c r="H4" s="11" t="s">
        <v>69</v>
      </c>
      <c r="I4" s="11" t="s">
        <v>70</v>
      </c>
      <c r="J4" s="5"/>
      <c r="K4" s="11" t="s">
        <v>67</v>
      </c>
      <c r="L4" s="12" t="s">
        <v>68</v>
      </c>
      <c r="M4" s="11" t="s">
        <v>69</v>
      </c>
      <c r="N4" s="11" t="s">
        <v>70</v>
      </c>
      <c r="O4" s="2"/>
      <c r="P4" s="11" t="s">
        <v>67</v>
      </c>
      <c r="Q4" s="12" t="s">
        <v>68</v>
      </c>
      <c r="R4" s="11" t="s">
        <v>69</v>
      </c>
      <c r="S4" s="11" t="s">
        <v>70</v>
      </c>
      <c r="T4" s="2"/>
    </row>
    <row r="5" spans="1:28">
      <c r="A5" s="66">
        <f ca="1">TODAY()+TIME(11,0,0)</f>
        <v>46322.458333333336</v>
      </c>
      <c r="B5" s="65">
        <v>0</v>
      </c>
      <c r="C5" s="73">
        <f ca="1">A5-D13</f>
        <v>4.3700231486582197E-2</v>
      </c>
      <c r="D5" s="9">
        <f ca="1">B5*C5</f>
        <v>0</v>
      </c>
      <c r="E5" s="3"/>
      <c r="F5" s="66">
        <f ca="1">TODAY()+TIME(11,0,0)</f>
        <v>46322.458333333336</v>
      </c>
      <c r="G5" s="65">
        <v>0</v>
      </c>
      <c r="H5" s="73">
        <f ca="1">F5-I13</f>
        <v>4.3700231486582197E-2</v>
      </c>
      <c r="I5" s="9">
        <f ca="1">G5*H5</f>
        <v>0</v>
      </c>
      <c r="J5" s="3"/>
      <c r="K5" s="66">
        <f ca="1">TODAY()+TIME(11,0,0)</f>
        <v>46322.458333333336</v>
      </c>
      <c r="L5" s="65">
        <v>0</v>
      </c>
      <c r="M5" s="73">
        <f ca="1">K5-N13</f>
        <v>4.3700231486582197E-2</v>
      </c>
      <c r="N5" s="9">
        <f ca="1">L5*M5</f>
        <v>0</v>
      </c>
      <c r="O5" s="2"/>
      <c r="P5" s="134" t="str">
        <f ca="1">S17</f>
        <v/>
      </c>
      <c r="Q5" s="65">
        <v>0</v>
      </c>
      <c r="R5" s="135" t="e">
        <f ca="1">P5-L25</f>
        <v>#VALUE!</v>
      </c>
      <c r="S5" s="126" t="e">
        <f ca="1">R5*Q5</f>
        <v>#VALUE!</v>
      </c>
      <c r="T5" s="2"/>
    </row>
    <row r="6" spans="1:28">
      <c r="A6" s="66">
        <f ca="1">TODAY()+TIME(12,0,0)</f>
        <v>46322.5</v>
      </c>
      <c r="B6" s="65">
        <v>0</v>
      </c>
      <c r="C6" s="73">
        <f ca="1">A6-D13</f>
        <v>8.5366898150823545E-2</v>
      </c>
      <c r="D6" s="9">
        <f ca="1">B6*C6</f>
        <v>0</v>
      </c>
      <c r="E6" s="3"/>
      <c r="F6" s="66">
        <f ca="1">TODAY()+TIME(12,0,0)</f>
        <v>46322.5</v>
      </c>
      <c r="G6" s="65">
        <v>0</v>
      </c>
      <c r="H6" s="73">
        <f ca="1">F6-I13</f>
        <v>8.5366898150823545E-2</v>
      </c>
      <c r="I6" s="9">
        <f ca="1">G6*H6</f>
        <v>0</v>
      </c>
      <c r="J6" s="3"/>
      <c r="K6" s="66">
        <f ca="1">TODAY()+TIME(12,0,0)</f>
        <v>46322.5</v>
      </c>
      <c r="L6" s="65">
        <v>0</v>
      </c>
      <c r="M6" s="73">
        <f ca="1">K6-N13</f>
        <v>8.5366898150823545E-2</v>
      </c>
      <c r="N6" s="9">
        <f ca="1">L6*M6</f>
        <v>0</v>
      </c>
      <c r="O6" s="133"/>
      <c r="P6" s="11" t="s">
        <v>71</v>
      </c>
      <c r="Q6" s="9" t="e">
        <f ca="1">S5</f>
        <v>#VALUE!</v>
      </c>
      <c r="R6" s="11" t="s">
        <v>72</v>
      </c>
      <c r="S6" s="6">
        <f>Q5</f>
        <v>0</v>
      </c>
      <c r="T6" s="41"/>
    </row>
    <row r="7" spans="1:28">
      <c r="A7" s="66">
        <f ca="1">TODAY()+TIME(13,0,0)</f>
        <v>46322.541666666664</v>
      </c>
      <c r="B7" s="65">
        <v>0</v>
      </c>
      <c r="C7" s="73">
        <f ca="1">A7-D13</f>
        <v>0.12703356481506489</v>
      </c>
      <c r="D7" s="9">
        <f ca="1">B7*C7</f>
        <v>0</v>
      </c>
      <c r="E7" s="3"/>
      <c r="F7" s="66">
        <f ca="1">TODAY()+TIME(13,0,0)</f>
        <v>46322.541666666664</v>
      </c>
      <c r="G7" s="65">
        <v>0</v>
      </c>
      <c r="H7" s="73">
        <f ca="1">F7-I13</f>
        <v>0.12703356481506489</v>
      </c>
      <c r="I7" s="9">
        <f ca="1">G7*H7</f>
        <v>0</v>
      </c>
      <c r="J7" s="3"/>
      <c r="K7" s="66">
        <f ca="1">TODAY()+TIME(13,0,0)</f>
        <v>46322.541666666664</v>
      </c>
      <c r="L7" s="65">
        <v>0</v>
      </c>
      <c r="M7" s="73">
        <f ca="1">K7-N13</f>
        <v>0.12703356481506489</v>
      </c>
      <c r="N7" s="9">
        <f ca="1">L7*M7</f>
        <v>0</v>
      </c>
      <c r="O7" s="133"/>
      <c r="P7" s="11" t="s">
        <v>73</v>
      </c>
      <c r="Q7" s="10" t="e">
        <f>Q2/(Q5)</f>
        <v>#DIV/0!</v>
      </c>
      <c r="R7" s="350"/>
      <c r="S7" s="351"/>
      <c r="T7" s="41"/>
    </row>
    <row r="8" spans="1:28">
      <c r="A8" s="66">
        <f ca="1">TODAY()+TIME(14,0,0)</f>
        <v>46322.583333333336</v>
      </c>
      <c r="B8" s="65">
        <v>0</v>
      </c>
      <c r="C8" s="73">
        <f ca="1">A8-D13</f>
        <v>0.1687002314865822</v>
      </c>
      <c r="D8" s="9">
        <f ca="1">B8*C8</f>
        <v>0</v>
      </c>
      <c r="E8" s="3"/>
      <c r="F8" s="66">
        <f ca="1">TODAY()+TIME(14,0,0)</f>
        <v>46322.583333333336</v>
      </c>
      <c r="G8" s="65">
        <v>0</v>
      </c>
      <c r="H8" s="73">
        <f ca="1">F8-I13</f>
        <v>0.1687002314865822</v>
      </c>
      <c r="I8" s="9">
        <f ca="1">G8*H8</f>
        <v>0</v>
      </c>
      <c r="J8" s="3"/>
      <c r="K8" s="66">
        <f ca="1">TODAY()+TIME(14,0,0)</f>
        <v>46322.583333333336</v>
      </c>
      <c r="L8" s="65">
        <v>0</v>
      </c>
      <c r="M8" s="73">
        <f ca="1">K8-N13</f>
        <v>0.1687002314865822</v>
      </c>
      <c r="N8" s="9">
        <f ca="1">L8*M8</f>
        <v>0</v>
      </c>
      <c r="O8" s="133"/>
      <c r="P8" s="11" t="s">
        <v>74</v>
      </c>
      <c r="Q8" s="9" t="e">
        <f>Q2/(Q3*(Q5))/24</f>
        <v>#DIV/0!</v>
      </c>
      <c r="R8" s="354"/>
      <c r="S8" s="355"/>
      <c r="T8" s="41"/>
    </row>
    <row r="9" spans="1:28">
      <c r="A9" s="66">
        <f ca="1">TODAY()+TIME(15,0,0)</f>
        <v>46322.625</v>
      </c>
      <c r="B9" s="65">
        <v>0</v>
      </c>
      <c r="C9" s="73">
        <f ca="1">A9-D13</f>
        <v>0.21036689815082354</v>
      </c>
      <c r="D9" s="9">
        <f ca="1">B9*C9</f>
        <v>0</v>
      </c>
      <c r="E9" s="2"/>
      <c r="F9" s="66">
        <f ca="1">TODAY()+TIME(15,0,0)</f>
        <v>46322.625</v>
      </c>
      <c r="G9" s="65">
        <v>0</v>
      </c>
      <c r="H9" s="73">
        <f ca="1">F9-I13</f>
        <v>0.21036689815082354</v>
      </c>
      <c r="I9" s="9">
        <f ca="1">G9*H9</f>
        <v>0</v>
      </c>
      <c r="J9" s="2"/>
      <c r="K9" s="66">
        <f ca="1">TODAY()+TIME(15,0,0)</f>
        <v>46322.625</v>
      </c>
      <c r="L9" s="65">
        <v>0</v>
      </c>
      <c r="M9" s="73">
        <f ca="1">K9-N13</f>
        <v>0.21036689815082354</v>
      </c>
      <c r="N9" s="9">
        <f ca="1">L9*M9</f>
        <v>0</v>
      </c>
      <c r="O9" s="133"/>
      <c r="P9" s="11" t="s">
        <v>75</v>
      </c>
      <c r="Q9" s="8" t="str">
        <f ca="1">IFERROR(L25+Q8+IF(Q2&gt;=400,TIME(0,24,0),0),"")</f>
        <v/>
      </c>
      <c r="R9" s="352"/>
      <c r="S9" s="353"/>
      <c r="T9" s="41"/>
    </row>
    <row r="10" spans="1:28">
      <c r="A10" s="11" t="s">
        <v>71</v>
      </c>
      <c r="B10" s="9">
        <f ca="1">D5+D6+D7+D8+D9</f>
        <v>0</v>
      </c>
      <c r="C10" s="11" t="s">
        <v>72</v>
      </c>
      <c r="D10" s="6">
        <f>B9+B8+B7+B6+B5</f>
        <v>0</v>
      </c>
      <c r="E10" s="2"/>
      <c r="F10" s="11" t="s">
        <v>71</v>
      </c>
      <c r="G10" s="9">
        <f ca="1">I5+I6+I7+I8+I9</f>
        <v>0</v>
      </c>
      <c r="H10" s="11" t="s">
        <v>72</v>
      </c>
      <c r="I10" s="6">
        <f>G9+G8+G7+G6+G5</f>
        <v>0</v>
      </c>
      <c r="J10" s="2"/>
      <c r="K10" s="11" t="s">
        <v>71</v>
      </c>
      <c r="L10" s="9">
        <f ca="1">N9+N8+N7+N6+N5</f>
        <v>0</v>
      </c>
      <c r="M10" s="11" t="s">
        <v>72</v>
      </c>
      <c r="N10" s="232">
        <f>L9+L8+L7+L6+L5</f>
        <v>0</v>
      </c>
      <c r="O10" s="2"/>
      <c r="P10" s="317"/>
      <c r="Q10" s="318"/>
      <c r="R10" s="318"/>
      <c r="S10" s="319"/>
      <c r="T10" s="2"/>
    </row>
    <row r="11" spans="1:28">
      <c r="A11" s="11" t="s">
        <v>73</v>
      </c>
      <c r="B11" s="10" t="e">
        <f>B2/(B6+B7+B8+B9)</f>
        <v>#DIV/0!</v>
      </c>
      <c r="C11" s="136"/>
      <c r="D11" s="138"/>
      <c r="E11" s="2"/>
      <c r="F11" s="11" t="s">
        <v>73</v>
      </c>
      <c r="G11" s="10" t="e">
        <f>G2/(G6+G7+G8+G9)</f>
        <v>#DIV/0!</v>
      </c>
      <c r="H11" s="136"/>
      <c r="I11" s="138"/>
      <c r="J11" s="2"/>
      <c r="K11" s="11" t="s">
        <v>73</v>
      </c>
      <c r="L11" s="230" t="e">
        <f>L2/(L6+L7+L8+L9)</f>
        <v>#DIV/0!</v>
      </c>
      <c r="M11" s="235"/>
      <c r="N11" s="236"/>
      <c r="O11" s="41"/>
      <c r="P11" s="388" t="s">
        <v>76</v>
      </c>
      <c r="Q11" s="389"/>
      <c r="R11" s="327" t="s">
        <v>77</v>
      </c>
      <c r="S11" s="328"/>
      <c r="T11" s="2"/>
    </row>
    <row r="12" spans="1:28">
      <c r="A12" s="11" t="s">
        <v>74</v>
      </c>
      <c r="B12" s="9" t="e">
        <f>B2/(B3*(B6+B7+B8+B9+B5))/24</f>
        <v>#DIV/0!</v>
      </c>
      <c r="C12" s="137"/>
      <c r="D12" s="139"/>
      <c r="E12" s="2"/>
      <c r="F12" s="11" t="s">
        <v>74</v>
      </c>
      <c r="G12" s="9" t="e">
        <f>G2/(G3*(G6+G7+G8+G9+G5))/24</f>
        <v>#DIV/0!</v>
      </c>
      <c r="H12" s="137"/>
      <c r="I12" s="139"/>
      <c r="J12" s="2"/>
      <c r="K12" s="11" t="s">
        <v>74</v>
      </c>
      <c r="L12" s="231" t="e">
        <f>L2/(L3*(L6+L7+L8+L9+L5))/24</f>
        <v>#DIV/0!</v>
      </c>
      <c r="M12" s="237"/>
      <c r="N12" s="238"/>
      <c r="O12" s="41"/>
      <c r="P12" s="67" t="s">
        <v>61</v>
      </c>
      <c r="Q12" s="65">
        <v>0</v>
      </c>
      <c r="R12" s="67" t="s">
        <v>61</v>
      </c>
      <c r="S12" s="20" t="str">
        <f ca="1">B13</f>
        <v/>
      </c>
      <c r="T12" s="2"/>
      <c r="U12" s="186"/>
    </row>
    <row r="13" spans="1:28">
      <c r="A13" s="11" t="s">
        <v>75</v>
      </c>
      <c r="B13" s="8" t="str">
        <f ca="1">IFERROR(D13+B12+IF(B2&gt;=3000,TIME(0,24,0),0),"")</f>
        <v/>
      </c>
      <c r="C13" s="11" t="s">
        <v>78</v>
      </c>
      <c r="D13" s="8">
        <f ca="1">NOW()</f>
        <v>46322.414633101849</v>
      </c>
      <c r="E13" s="2"/>
      <c r="F13" s="11" t="s">
        <v>75</v>
      </c>
      <c r="G13" s="8" t="str">
        <f ca="1">IFERROR(I13+G12+IF(G2&gt;=1500,TIME(0,24,0),0),"")</f>
        <v/>
      </c>
      <c r="H13" s="11" t="s">
        <v>78</v>
      </c>
      <c r="I13" s="8">
        <f ca="1">NOW()</f>
        <v>46322.414633101849</v>
      </c>
      <c r="J13" s="2"/>
      <c r="K13" s="11" t="s">
        <v>75</v>
      </c>
      <c r="L13" s="8" t="str">
        <f ca="1">IFERROR(N13+L12+IF(L2&gt;=400,TIME(0,24,0),0),"")</f>
        <v/>
      </c>
      <c r="M13" s="11" t="s">
        <v>78</v>
      </c>
      <c r="N13" s="234">
        <f ca="1">NOW()</f>
        <v>46322.414633101849</v>
      </c>
      <c r="O13" s="2"/>
      <c r="P13" s="68" t="s">
        <v>62</v>
      </c>
      <c r="Q13" s="65">
        <v>0</v>
      </c>
      <c r="R13" s="68" t="s">
        <v>62</v>
      </c>
      <c r="S13" s="20" t="str">
        <f ca="1">G13</f>
        <v/>
      </c>
      <c r="T13" s="2"/>
    </row>
    <row r="14" spans="1:28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9"/>
      <c r="O14" s="2"/>
      <c r="P14" s="69" t="s">
        <v>63</v>
      </c>
      <c r="Q14" s="65">
        <v>0</v>
      </c>
      <c r="R14" s="69" t="s">
        <v>63</v>
      </c>
      <c r="S14" s="20" t="str">
        <f ca="1">L13</f>
        <v/>
      </c>
      <c r="T14" s="2"/>
    </row>
    <row r="15" spans="1:28">
      <c r="A15" s="150" t="s">
        <v>79</v>
      </c>
      <c r="B15" s="151"/>
      <c r="C15" s="151"/>
      <c r="D15" s="152"/>
      <c r="E15" s="2"/>
      <c r="F15" s="153" t="s">
        <v>80</v>
      </c>
      <c r="G15" s="154"/>
      <c r="H15" s="154"/>
      <c r="I15" s="155"/>
      <c r="J15" s="2"/>
      <c r="K15" s="86" t="s">
        <v>81</v>
      </c>
      <c r="L15" s="87" t="e">
        <f ca="1">N29-N28-(L17/24)</f>
        <v>#DIV/0!</v>
      </c>
      <c r="M15" s="86" t="s">
        <v>82</v>
      </c>
      <c r="N15" s="88" t="e">
        <f ca="1">N16+(L16*L17)</f>
        <v>#DIV/0!</v>
      </c>
      <c r="O15" s="2"/>
      <c r="P15" s="70" t="s">
        <v>79</v>
      </c>
      <c r="Q15" s="65">
        <v>0</v>
      </c>
      <c r="R15" s="70" t="s">
        <v>79</v>
      </c>
      <c r="S15" s="20" t="str">
        <f ca="1">B27</f>
        <v/>
      </c>
      <c r="T15" s="2"/>
      <c r="AB15">
        <f ca="1">IFERROR(((N17-N16)/L16)/24,0)+IF(AA26&lt;0,-AA26,0)</f>
        <v>0</v>
      </c>
    </row>
    <row r="16" spans="1:28">
      <c r="A16" s="11" t="s">
        <v>65</v>
      </c>
      <c r="B16" s="6">
        <f>Q15</f>
        <v>0</v>
      </c>
      <c r="C16" s="136"/>
      <c r="D16" s="138"/>
      <c r="E16" s="2"/>
      <c r="F16" s="11" t="s">
        <v>65</v>
      </c>
      <c r="G16" s="6">
        <f>Q16</f>
        <v>0</v>
      </c>
      <c r="H16" s="136"/>
      <c r="I16" s="138"/>
      <c r="J16" s="2"/>
      <c r="K16" s="12" t="s">
        <v>83</v>
      </c>
      <c r="L16" s="90" t="e">
        <f ca="1">(B3*B10+G3*G10+L3*L10+B17*B24+G17*G24)/
(B10+G10+L10+B24+G24)</f>
        <v>#DIV/0!</v>
      </c>
      <c r="M16" s="86" t="s">
        <v>84</v>
      </c>
      <c r="N16" s="89" t="e">
        <f ca="1">L16*N28*24</f>
        <v>#DIV/0!</v>
      </c>
      <c r="O16" s="2"/>
      <c r="P16" s="71" t="s">
        <v>80</v>
      </c>
      <c r="Q16" s="65">
        <v>0</v>
      </c>
      <c r="R16" s="71" t="s">
        <v>80</v>
      </c>
      <c r="S16" s="20" t="str">
        <f ca="1">G27</f>
        <v/>
      </c>
      <c r="T16" s="2"/>
    </row>
    <row r="17" spans="1:27">
      <c r="A17" s="11" t="s">
        <v>66</v>
      </c>
      <c r="B17" s="6">
        <f>'Keräysteho kplh'!B5</f>
        <v>438</v>
      </c>
      <c r="C17" s="137"/>
      <c r="D17" s="139"/>
      <c r="E17" s="2"/>
      <c r="F17" s="11" t="s">
        <v>66</v>
      </c>
      <c r="G17" s="6">
        <f>'Keräysteho kplh'!B6</f>
        <v>400</v>
      </c>
      <c r="H17" s="137"/>
      <c r="I17" s="139"/>
      <c r="J17" s="2"/>
      <c r="K17" s="175" t="s">
        <v>85</v>
      </c>
      <c r="L17" s="222"/>
      <c r="M17" s="12" t="s">
        <v>86</v>
      </c>
      <c r="N17" s="13">
        <f>B2+G2+L2+B16+G16</f>
        <v>0</v>
      </c>
      <c r="O17" s="2"/>
      <c r="P17" s="72" t="s">
        <v>64</v>
      </c>
      <c r="Q17" s="65">
        <v>0</v>
      </c>
      <c r="R17" s="72" t="s">
        <v>64</v>
      </c>
      <c r="S17" s="8" t="str">
        <f ca="1">Q9</f>
        <v/>
      </c>
      <c r="T17" s="19"/>
    </row>
    <row r="18" spans="1:27">
      <c r="A18" s="11" t="s">
        <v>67</v>
      </c>
      <c r="B18" s="12" t="s">
        <v>68</v>
      </c>
      <c r="C18" s="11" t="s">
        <v>69</v>
      </c>
      <c r="D18" s="11" t="s">
        <v>70</v>
      </c>
      <c r="E18" s="5"/>
      <c r="F18" s="11" t="s">
        <v>67</v>
      </c>
      <c r="G18" s="12" t="s">
        <v>68</v>
      </c>
      <c r="H18" s="11" t="s">
        <v>69</v>
      </c>
      <c r="I18" s="11" t="s">
        <v>70</v>
      </c>
      <c r="J18" s="2"/>
      <c r="K18" s="209" t="s">
        <v>87</v>
      </c>
      <c r="L18" s="210">
        <f>L26*24/1440</f>
        <v>0</v>
      </c>
      <c r="M18" s="211" t="s">
        <v>88</v>
      </c>
      <c r="N18" s="211">
        <f>B2+G2+L2+Q2+B16+G16</f>
        <v>0</v>
      </c>
      <c r="O18" s="2"/>
      <c r="P18" s="190" t="s">
        <v>89</v>
      </c>
      <c r="Q18" s="82">
        <f>Q12+Q13+Q14+Q15+Q16+Q17</f>
        <v>0</v>
      </c>
      <c r="R18" s="190" t="s">
        <v>89</v>
      </c>
      <c r="S18" s="8">
        <f ca="1">L28</f>
        <v>0</v>
      </c>
      <c r="T18" s="19"/>
      <c r="U18" s="115"/>
      <c r="V18" s="116"/>
    </row>
    <row r="19" spans="1:27">
      <c r="A19" s="66">
        <f ca="1">TODAY()+TIME(11,0,0)</f>
        <v>46322.458333333336</v>
      </c>
      <c r="B19" s="65">
        <v>0</v>
      </c>
      <c r="C19" s="73">
        <f ca="1">A19-D27</f>
        <v>4.3700231486582197E-2</v>
      </c>
      <c r="D19" s="9">
        <f ca="1">B19*C19</f>
        <v>0</v>
      </c>
      <c r="E19" s="2"/>
      <c r="F19" s="66">
        <f ca="1">TODAY()+TIME(11,0,0)</f>
        <v>46322.458333333336</v>
      </c>
      <c r="G19" s="65">
        <v>0</v>
      </c>
      <c r="H19" s="73">
        <f ca="1">F19-I27</f>
        <v>4.3700231486582197E-2</v>
      </c>
      <c r="I19" s="9">
        <f ca="1">G19*H19</f>
        <v>0</v>
      </c>
      <c r="J19" s="174"/>
      <c r="K19" s="206" t="s">
        <v>67</v>
      </c>
      <c r="L19" s="206" t="s">
        <v>90</v>
      </c>
      <c r="M19" s="207" t="s">
        <v>91</v>
      </c>
      <c r="N19" s="208" t="e">
        <f ca="1">(B3*B10+G3*G10+L3*L10+Q3*Q6+B17*B24+G17*G24)/
(B10+G10+L10+Q6+B24+G24)</f>
        <v>#VALUE!</v>
      </c>
      <c r="O19" s="2"/>
      <c r="P19" s="201" t="s">
        <v>57</v>
      </c>
      <c r="Q19" s="202"/>
      <c r="R19" s="202" t="s">
        <v>50</v>
      </c>
      <c r="S19" s="202"/>
      <c r="T19" s="19"/>
      <c r="U19" s="115"/>
      <c r="V19" s="117"/>
      <c r="X19" s="114"/>
    </row>
    <row r="20" spans="1:27">
      <c r="A20" s="66">
        <f ca="1">TODAY()+TIME(12,0,0)</f>
        <v>46322.5</v>
      </c>
      <c r="B20" s="65">
        <v>0</v>
      </c>
      <c r="C20" s="73">
        <f ca="1">A20-D27</f>
        <v>8.5366898150823545E-2</v>
      </c>
      <c r="D20" s="9">
        <f ca="1">B20*C20</f>
        <v>0</v>
      </c>
      <c r="E20" s="2"/>
      <c r="F20" s="66">
        <f ca="1">TODAY()+TIME(12,0,0)</f>
        <v>46322.5</v>
      </c>
      <c r="G20" s="65">
        <v>0</v>
      </c>
      <c r="H20" s="73">
        <f ca="1">F20-I27</f>
        <v>8.5366898150823545E-2</v>
      </c>
      <c r="I20" s="9">
        <f ca="1">G20*H20</f>
        <v>0</v>
      </c>
      <c r="J20" s="2"/>
      <c r="K20" s="212">
        <f ca="1">TODAY()+TIME(11,0,0)</f>
        <v>46322.458333333336</v>
      </c>
      <c r="L20" s="213">
        <f>G19+B19+B5+G5+L5</f>
        <v>0</v>
      </c>
      <c r="M20" s="214">
        <f ca="1">K20-L25</f>
        <v>4.3700231486582197E-2</v>
      </c>
      <c r="N20" s="215">
        <f ca="1">L20*M20</f>
        <v>0</v>
      </c>
      <c r="O20" s="19"/>
      <c r="P20" s="356" t="s">
        <v>92</v>
      </c>
      <c r="Q20" s="357"/>
      <c r="R20" s="356" t="s">
        <v>93</v>
      </c>
      <c r="S20" s="357"/>
      <c r="T20" s="200"/>
      <c r="U20" s="115"/>
      <c r="V20" s="117"/>
      <c r="X20" s="114"/>
    </row>
    <row r="21" spans="1:27">
      <c r="A21" s="66">
        <f ca="1">TODAY()+TIME(13,0,0)</f>
        <v>46322.541666666664</v>
      </c>
      <c r="B21" s="65">
        <v>0</v>
      </c>
      <c r="C21" s="73">
        <f ca="1">A21-D27</f>
        <v>0.12703356481506489</v>
      </c>
      <c r="D21" s="9">
        <f ca="1">B21*C21</f>
        <v>0</v>
      </c>
      <c r="E21" s="2"/>
      <c r="F21" s="66">
        <f ca="1">TODAY()+TIME(13,0,0)</f>
        <v>46322.541666666664</v>
      </c>
      <c r="G21" s="65">
        <v>0</v>
      </c>
      <c r="H21" s="73">
        <f ca="1">F21-I27</f>
        <v>0.12703356481506489</v>
      </c>
      <c r="I21" s="9">
        <f ca="1">G21*H21</f>
        <v>0</v>
      </c>
      <c r="J21" s="2"/>
      <c r="K21" s="14">
        <f ca="1">TODAY()+TIME(12,0,0)</f>
        <v>46322.5</v>
      </c>
      <c r="L21" s="13">
        <f>G20+B20+B6+G6+L6</f>
        <v>0</v>
      </c>
      <c r="M21" s="15">
        <f ca="1">K21-L25</f>
        <v>8.5366898150823545E-2</v>
      </c>
      <c r="N21" s="54">
        <f ca="1">L21*M21</f>
        <v>0</v>
      </c>
      <c r="O21" s="19"/>
      <c r="P21" s="191" t="s">
        <v>94</v>
      </c>
      <c r="Q21" s="65">
        <v>0</v>
      </c>
      <c r="R21" s="192" t="s">
        <v>95</v>
      </c>
      <c r="S21" s="187">
        <f>Q21/25</f>
        <v>0</v>
      </c>
      <c r="T21" s="200"/>
      <c r="U21" s="115"/>
      <c r="V21" s="117"/>
      <c r="X21" s="114"/>
    </row>
    <row r="22" spans="1:27">
      <c r="A22" s="66">
        <f ca="1">TODAY()+TIME(14,0,0)</f>
        <v>46322.583333333336</v>
      </c>
      <c r="B22" s="65">
        <v>0</v>
      </c>
      <c r="C22" s="73">
        <f ca="1">A22-D27</f>
        <v>0.1687002314865822</v>
      </c>
      <c r="D22" s="9">
        <f ca="1">B22*C22</f>
        <v>0</v>
      </c>
      <c r="E22" s="2"/>
      <c r="F22" s="66">
        <f ca="1">TODAY()+TIME(14,0,0)</f>
        <v>46322.583333333336</v>
      </c>
      <c r="G22" s="65">
        <v>0</v>
      </c>
      <c r="H22" s="73">
        <f ca="1">F22-I27</f>
        <v>0.1687002314865822</v>
      </c>
      <c r="I22" s="9">
        <f ca="1">G22*H22</f>
        <v>0</v>
      </c>
      <c r="J22" s="2"/>
      <c r="K22" s="14">
        <f ca="1">TODAY()+TIME(13,0,0)</f>
        <v>46322.541666666664</v>
      </c>
      <c r="L22" s="13">
        <f>G21+B21+B7+G7+L7</f>
        <v>0</v>
      </c>
      <c r="M22" s="15">
        <f ca="1">K22-L25</f>
        <v>0.12703356481506489</v>
      </c>
      <c r="N22" s="54">
        <f ca="1">L22*M22</f>
        <v>0</v>
      </c>
      <c r="O22" s="19"/>
      <c r="P22" s="67" t="s">
        <v>61</v>
      </c>
      <c r="Q22" s="65">
        <v>0</v>
      </c>
      <c r="R22" s="239" t="s">
        <v>95</v>
      </c>
      <c r="S22" s="194">
        <f>B32</f>
        <v>0</v>
      </c>
      <c r="T22" s="200">
        <v>47</v>
      </c>
      <c r="U22" s="115"/>
      <c r="V22" s="117"/>
    </row>
    <row r="23" spans="1:27">
      <c r="A23" s="66">
        <f ca="1">TODAY()+TIME(15,0,0)</f>
        <v>46322.625</v>
      </c>
      <c r="B23" s="65">
        <v>0</v>
      </c>
      <c r="C23" s="73">
        <f ca="1">A23-D27</f>
        <v>0.21036689815082354</v>
      </c>
      <c r="D23" s="9">
        <f ca="1">B23*C23</f>
        <v>0</v>
      </c>
      <c r="E23" s="2"/>
      <c r="F23" s="66">
        <f ca="1">TODAY()+TIME(15,0,0)</f>
        <v>46322.625</v>
      </c>
      <c r="G23" s="65">
        <v>0</v>
      </c>
      <c r="H23" s="92">
        <f ca="1">F23-I27</f>
        <v>0.21036689815082354</v>
      </c>
      <c r="I23" s="9">
        <f ca="1">G23*H23</f>
        <v>0</v>
      </c>
      <c r="J23" s="2"/>
      <c r="K23" s="50">
        <f ca="1">TODAY()+TIME(14,0,0)</f>
        <v>46322.583333333336</v>
      </c>
      <c r="L23" s="211">
        <f>G22+B22+B8+G8+L8</f>
        <v>0</v>
      </c>
      <c r="M23" s="127">
        <f ca="1">K23-L25</f>
        <v>0.1687002314865822</v>
      </c>
      <c r="N23" s="128">
        <f ca="1">L23*M23</f>
        <v>0</v>
      </c>
      <c r="O23" s="19"/>
      <c r="P23" s="68" t="s">
        <v>62</v>
      </c>
      <c r="Q23" s="65">
        <v>0</v>
      </c>
      <c r="R23" s="240" t="s">
        <v>95</v>
      </c>
      <c r="S23" s="194">
        <f>G32</f>
        <v>0</v>
      </c>
      <c r="T23" s="200"/>
      <c r="U23" s="115"/>
      <c r="V23" s="117"/>
      <c r="X23" s="114"/>
    </row>
    <row r="24" spans="1:27">
      <c r="A24" s="11" t="s">
        <v>71</v>
      </c>
      <c r="B24" s="9">
        <f ca="1">D23+D22+D21+D20+D19</f>
        <v>0</v>
      </c>
      <c r="C24" s="11" t="s">
        <v>72</v>
      </c>
      <c r="D24" s="6">
        <f>B23+B22+B21+B20+B19</f>
        <v>0</v>
      </c>
      <c r="E24" s="2"/>
      <c r="F24" s="11" t="s">
        <v>71</v>
      </c>
      <c r="G24" s="9">
        <f ca="1">I23+I22+I21+I20+I19</f>
        <v>0</v>
      </c>
      <c r="H24" s="11" t="s">
        <v>72</v>
      </c>
      <c r="I24" s="6">
        <f>G23+G22+G21+G20+G19</f>
        <v>0</v>
      </c>
      <c r="J24" s="2"/>
      <c r="K24" s="216">
        <f ca="1">TODAY()+TIME(15,0,0)</f>
        <v>46322.625</v>
      </c>
      <c r="L24" s="217">
        <f>G23+B23+B9+G9+L9</f>
        <v>0</v>
      </c>
      <c r="M24" s="218">
        <f ca="1">K24-L25</f>
        <v>0.21036689815082354</v>
      </c>
      <c r="N24" s="219">
        <f ca="1">L24*M24</f>
        <v>0</v>
      </c>
      <c r="O24" s="19"/>
      <c r="P24" s="69" t="s">
        <v>63</v>
      </c>
      <c r="Q24" s="65">
        <v>0</v>
      </c>
      <c r="R24" s="196" t="s">
        <v>96</v>
      </c>
      <c r="S24" s="194" t="s">
        <v>36</v>
      </c>
      <c r="T24" s="200"/>
      <c r="U24" s="115"/>
      <c r="V24" s="118"/>
      <c r="X24" s="114"/>
    </row>
    <row r="25" spans="1:27">
      <c r="A25" s="11" t="s">
        <v>73</v>
      </c>
      <c r="B25" s="10" t="e">
        <f>B16/(B20+B21+B22+B23)</f>
        <v>#DIV/0!</v>
      </c>
      <c r="C25" s="136"/>
      <c r="D25" s="138"/>
      <c r="E25" s="2"/>
      <c r="F25" s="11" t="s">
        <v>73</v>
      </c>
      <c r="G25" s="10" t="e">
        <f>G16/(G20+G21+G22+G23)</f>
        <v>#DIV/0!</v>
      </c>
      <c r="H25" s="136"/>
      <c r="I25" s="138"/>
      <c r="J25" s="2"/>
      <c r="K25" s="11" t="s">
        <v>78</v>
      </c>
      <c r="L25" s="212">
        <f ca="1">NOW()</f>
        <v>46322.414633101849</v>
      </c>
      <c r="M25" s="220" t="s">
        <v>97</v>
      </c>
      <c r="N25" s="221" t="str">
        <f ca="1">IF(AA25&lt;0,"-","")&amp;INT(ROUND(ABS(AA25)*1440,0)/60)&amp;":"&amp;TEXT(MOD(ROUND(ABS(AA25)*1440,0),60),"00")</f>
        <v>0:00</v>
      </c>
      <c r="O25" s="200"/>
      <c r="P25" s="70" t="s">
        <v>79</v>
      </c>
      <c r="Q25" s="65">
        <v>0</v>
      </c>
      <c r="R25" s="197" t="s">
        <v>98</v>
      </c>
      <c r="S25" s="194">
        <f>B38</f>
        <v>0</v>
      </c>
      <c r="T25" s="200"/>
      <c r="U25" s="119"/>
      <c r="V25" s="118"/>
      <c r="AA25">
        <f ca="1">N28-IFERROR((B2/B3+G2/G3+L2/L3+B16/B17+G16/G17)/24,0)+L17/24</f>
        <v>0</v>
      </c>
    </row>
    <row r="26" spans="1:27">
      <c r="A26" s="11" t="s">
        <v>74</v>
      </c>
      <c r="B26" s="9" t="e">
        <f>B16/(B17*(B20+B21+B22+B23+B19))/24</f>
        <v>#DIV/0!</v>
      </c>
      <c r="C26" s="137"/>
      <c r="D26" s="139"/>
      <c r="E26" s="2"/>
      <c r="F26" s="11" t="s">
        <v>74</v>
      </c>
      <c r="G26" s="9" t="e">
        <f>G16/(G17*(G20+G21+G22+G23+G19))/24</f>
        <v>#DIV/0!</v>
      </c>
      <c r="H26" s="137"/>
      <c r="I26" s="139"/>
      <c r="J26" s="2"/>
      <c r="K26" s="12" t="s">
        <v>72</v>
      </c>
      <c r="L26" s="205">
        <f>L24+L23+L22+L21+L20</f>
        <v>0</v>
      </c>
      <c r="M26" s="204" t="s">
        <v>99</v>
      </c>
      <c r="N26" s="228" t="str">
        <f ca="1">IF(AA26&lt;0,"-","")&amp;INT(ROUND(ABS(AA26)*1440,0)/60)&amp;":"&amp;TEXT(MOD(ROUND(ABS(AA26)*1440,0),60),"00")</f>
        <v>0:00</v>
      </c>
      <c r="O26" s="200"/>
      <c r="P26" s="71" t="s">
        <v>80</v>
      </c>
      <c r="Q26" s="65">
        <v>0</v>
      </c>
      <c r="R26" s="198" t="s">
        <v>98</v>
      </c>
      <c r="S26" s="194">
        <f>D38</f>
        <v>0</v>
      </c>
      <c r="T26" s="200"/>
      <c r="AA26">
        <f ca="1">AA25-L18</f>
        <v>0</v>
      </c>
    </row>
    <row r="27" spans="1:27">
      <c r="A27" s="11" t="s">
        <v>75</v>
      </c>
      <c r="B27" s="48" t="str">
        <f ca="1">IFERROR(D27+B26+IF(B16&gt;=5000,TIME(0,24,0),0),"")</f>
        <v/>
      </c>
      <c r="C27" s="11" t="s">
        <v>78</v>
      </c>
      <c r="D27" s="8">
        <f ca="1">NOW()</f>
        <v>46322.414633101849</v>
      </c>
      <c r="E27" s="43"/>
      <c r="F27" s="11" t="s">
        <v>75</v>
      </c>
      <c r="G27" s="48" t="str">
        <f ca="1">IFERROR(I27+G26+IF(G16&gt;=5000,TIME(0,24,0),0),"")</f>
        <v/>
      </c>
      <c r="H27" s="11" t="s">
        <v>78</v>
      </c>
      <c r="I27" s="8">
        <f ca="1">NOW()</f>
        <v>46322.414633101849</v>
      </c>
      <c r="J27" s="2"/>
      <c r="K27" s="12" t="s">
        <v>73</v>
      </c>
      <c r="L27" s="16" t="e">
        <f>N17/(L21+L22+L23+L24)</f>
        <v>#DIV/0!</v>
      </c>
      <c r="M27" s="204" t="s">
        <v>100</v>
      </c>
      <c r="N27" s="227">
        <f ca="1">ABS(AA26+AA25)/2</f>
        <v>0</v>
      </c>
      <c r="O27" s="200"/>
      <c r="P27" s="72" t="s">
        <v>64</v>
      </c>
      <c r="Q27" s="65">
        <v>0</v>
      </c>
      <c r="R27" s="199" t="s">
        <v>98</v>
      </c>
      <c r="S27" s="194">
        <f>L39</f>
        <v>0</v>
      </c>
      <c r="T27" s="41"/>
    </row>
    <row r="28" spans="1:27">
      <c r="A28" s="1"/>
      <c r="B28" s="1"/>
      <c r="C28" s="1"/>
      <c r="D28" s="1"/>
      <c r="F28" s="1"/>
      <c r="G28" s="1"/>
      <c r="H28" s="1"/>
      <c r="I28" s="1"/>
      <c r="J28" s="2"/>
      <c r="K28" s="49" t="s">
        <v>101</v>
      </c>
      <c r="L28" s="50">
        <f ca="1">MAX(IFERROR(B27*1,0),IFERROR(G27*1,0),IFERROR(L13*1,0),IFERROR(G13*1,0),IFERROR(B13*1,0),IFERROR(Q9*1,0))</f>
        <v>0</v>
      </c>
      <c r="M28" s="12" t="s">
        <v>102</v>
      </c>
      <c r="N28" s="15">
        <f ca="1">N21+N22+N23+N24+N20</f>
        <v>0</v>
      </c>
      <c r="O28" s="200"/>
      <c r="P28" s="190" t="s">
        <v>89</v>
      </c>
      <c r="Q28" s="189">
        <f>B31+D31+L34+L38+D37+B37</f>
        <v>0</v>
      </c>
      <c r="R28" s="190" t="s">
        <v>72</v>
      </c>
      <c r="S28" s="187">
        <f>S27+S26+S25+S23+S22+S21</f>
        <v>0</v>
      </c>
      <c r="T28" s="41"/>
    </row>
    <row r="29" spans="1:27">
      <c r="A29" s="144" t="s">
        <v>61</v>
      </c>
      <c r="B29" s="145"/>
      <c r="C29" s="145"/>
      <c r="D29" s="146"/>
      <c r="E29" s="2"/>
      <c r="F29" s="147" t="s">
        <v>62</v>
      </c>
      <c r="G29" s="148"/>
      <c r="H29" s="148"/>
      <c r="I29" s="149"/>
      <c r="J29" s="2"/>
      <c r="K29" s="49" t="s">
        <v>103</v>
      </c>
      <c r="L29" s="50">
        <f ca="1">L28+(L18/24)</f>
        <v>0</v>
      </c>
      <c r="M29" s="12" t="s">
        <v>104</v>
      </c>
      <c r="N29" s="229" t="e">
        <f ca="1">N17/L16/24</f>
        <v>#DIV/0!</v>
      </c>
      <c r="O29" s="200"/>
      <c r="P29" s="173" t="s">
        <v>105</v>
      </c>
      <c r="Q29" s="194" t="e">
        <f>Q28/L26</f>
        <v>#DIV/0!</v>
      </c>
      <c r="R29" s="173" t="s">
        <v>105</v>
      </c>
      <c r="S29" s="187" t="e">
        <f>S28/L26</f>
        <v>#DIV/0!</v>
      </c>
      <c r="T29" s="41"/>
    </row>
    <row r="30" spans="1:27">
      <c r="A30" s="17" t="s">
        <v>106</v>
      </c>
      <c r="B30" s="6">
        <f>B2</f>
        <v>0</v>
      </c>
      <c r="C30" s="11" t="s">
        <v>72</v>
      </c>
      <c r="D30" s="6">
        <f>D10</f>
        <v>0</v>
      </c>
      <c r="E30" s="2"/>
      <c r="F30" s="17" t="s">
        <v>106</v>
      </c>
      <c r="G30" s="6">
        <f>G2</f>
        <v>0</v>
      </c>
      <c r="H30" s="11" t="s">
        <v>72</v>
      </c>
      <c r="I30" s="6">
        <f>I10</f>
        <v>0</v>
      </c>
      <c r="J30" s="43"/>
      <c r="K30" s="226" t="s">
        <v>107</v>
      </c>
      <c r="L30" s="225">
        <f ca="1">AVERAGE(L28,L29)</f>
        <v>0</v>
      </c>
      <c r="M30" s="12" t="s">
        <v>108</v>
      </c>
      <c r="N30" s="9">
        <f>MAX(IFERROR(B26*1,0),IFERROR(G26*1,0),IFERROR(L12*1,0),IFERROR(G12*1,0),IFERROR(B12*1,0),IFERROR(Q8*1,0))</f>
        <v>0</v>
      </c>
      <c r="O30" s="41"/>
      <c r="P30" s="203"/>
      <c r="Q30" s="203"/>
      <c r="R30" s="203"/>
      <c r="S30" s="188"/>
      <c r="T30" s="2"/>
    </row>
    <row r="31" spans="1:27">
      <c r="A31" s="17" t="s">
        <v>109</v>
      </c>
      <c r="B31" s="6">
        <f>Q22</f>
        <v>0</v>
      </c>
      <c r="C31" s="136"/>
      <c r="D31" s="138"/>
      <c r="E31" s="2"/>
      <c r="F31" s="17" t="s">
        <v>109</v>
      </c>
      <c r="G31" s="6">
        <f>Q23</f>
        <v>0</v>
      </c>
      <c r="H31" s="136"/>
      <c r="I31" s="138"/>
      <c r="K31" s="52"/>
      <c r="L31" s="1"/>
      <c r="M31" s="1"/>
      <c r="N31" s="1"/>
      <c r="O31" s="19"/>
      <c r="P31" s="356" t="s">
        <v>92</v>
      </c>
      <c r="Q31" s="357"/>
      <c r="R31" s="356" t="s">
        <v>93</v>
      </c>
      <c r="S31" s="357"/>
      <c r="T31" s="41"/>
    </row>
    <row r="32" spans="1:27">
      <c r="A32" s="17" t="s">
        <v>110</v>
      </c>
      <c r="B32" s="18">
        <f>B31/9</f>
        <v>0</v>
      </c>
      <c r="C32" s="137"/>
      <c r="D32" s="139"/>
      <c r="E32" s="2"/>
      <c r="F32" s="17" t="s">
        <v>110</v>
      </c>
      <c r="G32" s="18">
        <f>G31/9</f>
        <v>0</v>
      </c>
      <c r="H32" s="137"/>
      <c r="I32" s="139"/>
      <c r="J32" s="2"/>
      <c r="K32" s="102" t="s">
        <v>63</v>
      </c>
      <c r="L32" s="102"/>
      <c r="M32" s="102"/>
      <c r="N32" s="105"/>
      <c r="O32" s="19"/>
      <c r="P32" s="424" t="s">
        <v>61</v>
      </c>
      <c r="Q32" s="425"/>
      <c r="R32" s="239" t="s">
        <v>95</v>
      </c>
      <c r="S32" s="170" t="e">
        <f>S22/D10</f>
        <v>#DIV/0!</v>
      </c>
      <c r="T32" s="41"/>
    </row>
    <row r="33" spans="1:20">
      <c r="A33" s="17" t="s">
        <v>111</v>
      </c>
      <c r="B33" s="18" t="e">
        <f>B32/D10</f>
        <v>#DIV/0!</v>
      </c>
      <c r="C33" s="140"/>
      <c r="D33" s="141"/>
      <c r="E33" s="2"/>
      <c r="F33" s="17" t="s">
        <v>111</v>
      </c>
      <c r="G33" s="18" t="e">
        <f>G32/I10</f>
        <v>#DIV/0!</v>
      </c>
      <c r="H33" s="140"/>
      <c r="I33" s="141"/>
      <c r="J33" s="2"/>
      <c r="K33" s="17" t="s">
        <v>106</v>
      </c>
      <c r="L33" s="6">
        <f>L2</f>
        <v>0</v>
      </c>
      <c r="M33" s="11" t="s">
        <v>72</v>
      </c>
      <c r="N33" s="57">
        <f>N10</f>
        <v>0</v>
      </c>
      <c r="O33" s="172"/>
      <c r="P33" s="410" t="s">
        <v>62</v>
      </c>
      <c r="Q33" s="411"/>
      <c r="R33" s="240" t="s">
        <v>95</v>
      </c>
      <c r="S33" s="170" t="e">
        <f>S23/I10</f>
        <v>#DIV/0!</v>
      </c>
      <c r="T33" s="167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17" t="s">
        <v>112</v>
      </c>
      <c r="L34" s="6">
        <f>Q24</f>
        <v>0</v>
      </c>
      <c r="M34" s="17" t="s">
        <v>111</v>
      </c>
      <c r="N34" s="18" t="e">
        <f>L34/N10</f>
        <v>#DIV/0!</v>
      </c>
      <c r="O34" s="19"/>
      <c r="P34" s="422" t="s">
        <v>63</v>
      </c>
      <c r="Q34" s="423"/>
      <c r="R34" s="196" t="s">
        <v>96</v>
      </c>
      <c r="S34" s="170" t="e">
        <f>N34</f>
        <v>#DIV/0!</v>
      </c>
      <c r="T34" s="167"/>
    </row>
    <row r="35" spans="1:20">
      <c r="A35" s="150" t="s">
        <v>79</v>
      </c>
      <c r="B35" s="151"/>
      <c r="C35" s="151"/>
      <c r="D35" s="152"/>
      <c r="E35" s="2"/>
      <c r="F35" s="153" t="s">
        <v>80</v>
      </c>
      <c r="G35" s="154"/>
      <c r="H35" s="154"/>
      <c r="I35" s="155"/>
      <c r="J35" s="2"/>
      <c r="K35" s="2"/>
      <c r="L35" s="2"/>
      <c r="M35" s="2"/>
      <c r="N35" s="19"/>
      <c r="O35" s="19"/>
      <c r="P35" s="416" t="s">
        <v>79</v>
      </c>
      <c r="Q35" s="417"/>
      <c r="R35" s="197" t="s">
        <v>98</v>
      </c>
      <c r="S35" s="170" t="e">
        <f>S25/D24</f>
        <v>#DIV/0!</v>
      </c>
      <c r="T35" s="41"/>
    </row>
    <row r="36" spans="1:20">
      <c r="A36" s="17" t="s">
        <v>106</v>
      </c>
      <c r="B36" s="6">
        <f>B16</f>
        <v>0</v>
      </c>
      <c r="C36" s="11" t="s">
        <v>72</v>
      </c>
      <c r="D36" s="6">
        <f>D16</f>
        <v>0</v>
      </c>
      <c r="E36" s="2"/>
      <c r="F36" s="17" t="s">
        <v>106</v>
      </c>
      <c r="G36" s="6">
        <f>G16</f>
        <v>0</v>
      </c>
      <c r="H36" s="11" t="s">
        <v>72</v>
      </c>
      <c r="I36" s="6">
        <f>I16</f>
        <v>0</v>
      </c>
      <c r="J36" s="2"/>
      <c r="K36" s="97" t="s">
        <v>64</v>
      </c>
      <c r="L36" s="97"/>
      <c r="M36" s="97"/>
      <c r="N36" s="101"/>
      <c r="O36" s="19"/>
      <c r="P36" s="418" t="s">
        <v>80</v>
      </c>
      <c r="Q36" s="419"/>
      <c r="R36" s="198" t="s">
        <v>98</v>
      </c>
      <c r="S36" s="170" t="e">
        <f>S26/I24</f>
        <v>#DIV/0!</v>
      </c>
      <c r="T36" s="41"/>
    </row>
    <row r="37" spans="1:20">
      <c r="A37" s="17" t="s">
        <v>109</v>
      </c>
      <c r="B37" s="6">
        <f>Q25</f>
        <v>0</v>
      </c>
      <c r="C37" s="136"/>
      <c r="D37" s="138"/>
      <c r="E37" s="2"/>
      <c r="F37" s="17" t="s">
        <v>109</v>
      </c>
      <c r="G37" s="6">
        <f>Q26</f>
        <v>0</v>
      </c>
      <c r="H37" s="157"/>
      <c r="I37" s="158"/>
      <c r="J37" s="142"/>
      <c r="K37" s="17" t="s">
        <v>106</v>
      </c>
      <c r="L37" s="6">
        <f>Q2</f>
        <v>0</v>
      </c>
      <c r="M37" s="11" t="s">
        <v>72</v>
      </c>
      <c r="N37" s="57">
        <f>S6</f>
        <v>0</v>
      </c>
      <c r="O37" s="19"/>
      <c r="P37" s="420" t="s">
        <v>64</v>
      </c>
      <c r="Q37" s="421"/>
      <c r="R37" s="199" t="s">
        <v>98</v>
      </c>
      <c r="S37" s="171" t="e">
        <f>S27/S6</f>
        <v>#DIV/0!</v>
      </c>
      <c r="T37" s="41"/>
    </row>
    <row r="38" spans="1:20" ht="15" customHeight="1">
      <c r="A38" s="17" t="s">
        <v>110</v>
      </c>
      <c r="B38" s="18">
        <f>B37/10</f>
        <v>0</v>
      </c>
      <c r="C38" s="137"/>
      <c r="D38" s="139"/>
      <c r="E38" s="2"/>
      <c r="F38" s="17" t="s">
        <v>110</v>
      </c>
      <c r="G38" s="18">
        <f>G37/10</f>
        <v>0</v>
      </c>
      <c r="H38" s="159"/>
      <c r="I38" s="160"/>
      <c r="J38" s="156"/>
      <c r="K38" s="17" t="s">
        <v>109</v>
      </c>
      <c r="L38" s="6">
        <f>Q27</f>
        <v>0</v>
      </c>
      <c r="M38" s="368"/>
      <c r="N38" s="369"/>
      <c r="O38" s="19"/>
      <c r="P38" s="406">
        <f ca="1">NOW()</f>
        <v>46322.414633101849</v>
      </c>
      <c r="Q38" s="408" t="s">
        <v>55</v>
      </c>
      <c r="R38" s="412">
        <f ca="1">I27</f>
        <v>46322.414633101849</v>
      </c>
      <c r="S38" s="413"/>
      <c r="T38" s="41"/>
    </row>
    <row r="39" spans="1:20" ht="15" customHeight="1">
      <c r="A39" s="17" t="s">
        <v>111</v>
      </c>
      <c r="B39" s="18" t="e">
        <f>B38/D24</f>
        <v>#DIV/0!</v>
      </c>
      <c r="C39" s="140"/>
      <c r="D39" s="141"/>
      <c r="E39" s="2"/>
      <c r="F39" s="17" t="s">
        <v>111</v>
      </c>
      <c r="G39" s="18" t="e">
        <f>G38/I24</f>
        <v>#DIV/0!</v>
      </c>
      <c r="H39" s="161"/>
      <c r="I39" s="162"/>
      <c r="J39" s="156"/>
      <c r="K39" s="17" t="s">
        <v>110</v>
      </c>
      <c r="L39" s="18">
        <f>L38/16</f>
        <v>0</v>
      </c>
      <c r="M39" s="17" t="s">
        <v>111</v>
      </c>
      <c r="N39" s="18" t="e">
        <f>L39/N37</f>
        <v>#DIV/0!</v>
      </c>
      <c r="O39" s="19"/>
      <c r="P39" s="407"/>
      <c r="Q39" s="409"/>
      <c r="R39" s="414"/>
      <c r="S39" s="415"/>
      <c r="T39" s="167"/>
    </row>
    <row r="40" spans="1:20">
      <c r="A40" s="43"/>
      <c r="B40" s="166"/>
      <c r="C40" s="43"/>
      <c r="D40" s="43"/>
      <c r="E40" s="43"/>
      <c r="F40" s="43"/>
      <c r="G40" s="166"/>
      <c r="H40" s="43"/>
      <c r="I40" s="43"/>
      <c r="J40" s="156"/>
      <c r="K40" s="43"/>
      <c r="L40" s="43"/>
      <c r="M40" s="43"/>
      <c r="N40" s="143"/>
      <c r="O40" s="43"/>
      <c r="P40" s="42"/>
      <c r="Q40" s="42"/>
      <c r="R40" s="42"/>
      <c r="S40" s="56"/>
      <c r="T40" s="43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25">
    <mergeCell ref="P32:Q32"/>
    <mergeCell ref="P31:Q31"/>
    <mergeCell ref="R31:S31"/>
    <mergeCell ref="P11:Q11"/>
    <mergeCell ref="R11:S11"/>
    <mergeCell ref="R7:S9"/>
    <mergeCell ref="P20:Q20"/>
    <mergeCell ref="R20:S20"/>
    <mergeCell ref="A1:D1"/>
    <mergeCell ref="F1:I1"/>
    <mergeCell ref="P1:S1"/>
    <mergeCell ref="C2:D3"/>
    <mergeCell ref="H2:I3"/>
    <mergeCell ref="M2:N3"/>
    <mergeCell ref="R2:S3"/>
    <mergeCell ref="P10:S10"/>
    <mergeCell ref="M38:N38"/>
    <mergeCell ref="P38:P39"/>
    <mergeCell ref="Q38:Q39"/>
    <mergeCell ref="P33:Q33"/>
    <mergeCell ref="R38:S39"/>
    <mergeCell ref="P35:Q35"/>
    <mergeCell ref="P36:Q36"/>
    <mergeCell ref="P37:Q37"/>
    <mergeCell ref="P34:Q34"/>
  </mergeCells>
  <conditionalFormatting sqref="S12:S17">
    <cfRule type="cellIs" dxfId="77" priority="24" operator="equal">
      <formula>$S$18</formula>
    </cfRule>
  </conditionalFormatting>
  <conditionalFormatting sqref="N17:N18">
    <cfRule type="cellIs" dxfId="76" priority="21" stopIfTrue="1" operator="greaterThan">
      <formula>$N$16</formula>
    </cfRule>
  </conditionalFormatting>
  <conditionalFormatting sqref="N15">
    <cfRule type="cellIs" dxfId="75" priority="20" operator="greaterThan">
      <formula>$N$17</formula>
    </cfRule>
  </conditionalFormatting>
  <conditionalFormatting sqref="N17">
    <cfRule type="cellIs" dxfId="74" priority="19" operator="lessThan">
      <formula>$N$16</formula>
    </cfRule>
  </conditionalFormatting>
  <conditionalFormatting sqref="N15">
    <cfRule type="cellIs" dxfId="73" priority="18" operator="equal">
      <formula>$N$17</formula>
    </cfRule>
  </conditionalFormatting>
  <conditionalFormatting sqref="N15">
    <cfRule type="cellIs" dxfId="72" priority="17" operator="lessThan">
      <formula>$N$17</formula>
    </cfRule>
  </conditionalFormatting>
  <conditionalFormatting sqref="N18">
    <cfRule type="cellIs" dxfId="71" priority="16" operator="lessThan">
      <formula>$N$16</formula>
    </cfRule>
  </conditionalFormatting>
  <conditionalFormatting sqref="N18">
    <cfRule type="cellIs" dxfId="70" priority="15" operator="equal">
      <formula>$N$17</formula>
    </cfRule>
  </conditionalFormatting>
  <conditionalFormatting sqref="N19">
    <cfRule type="containsErrors" dxfId="69" priority="14">
      <formula>ISERROR(N19)</formula>
    </cfRule>
  </conditionalFormatting>
  <conditionalFormatting sqref="L15">
    <cfRule type="containsText" dxfId="68" priority="13" operator="containsText" text="-">
      <formula>NOT(ISERROR(SEARCH("-",L15)))</formula>
    </cfRule>
  </conditionalFormatting>
  <conditionalFormatting sqref="L15">
    <cfRule type="notContainsText" dxfId="67" priority="12" operator="notContains" text="-">
      <formula>ISERROR(SEARCH("-",L15))</formula>
    </cfRule>
  </conditionalFormatting>
  <conditionalFormatting sqref="L15">
    <cfRule type="cellIs" dxfId="66" priority="11" operator="equal">
      <formula>0</formula>
    </cfRule>
  </conditionalFormatting>
  <conditionalFormatting sqref="N26">
    <cfRule type="containsText" dxfId="65" priority="9" operator="containsText" text="-">
      <formula>NOT(ISERROR(SEARCH("-",N26)))</formula>
    </cfRule>
    <cfRule type="cellIs" dxfId="64" priority="10" operator="greaterThan">
      <formula>0</formula>
    </cfRule>
  </conditionalFormatting>
  <conditionalFormatting sqref="N25">
    <cfRule type="containsText" dxfId="63" priority="7" operator="containsText" text="-">
      <formula>NOT(ISERROR(SEARCH("-",N25)))</formula>
    </cfRule>
  </conditionalFormatting>
  <conditionalFormatting sqref="N25">
    <cfRule type="cellIs" dxfId="62" priority="8" operator="greaterThan">
      <formula>0</formula>
    </cfRule>
  </conditionalFormatting>
  <conditionalFormatting sqref="L15">
    <cfRule type="containsErrors" dxfId="61" priority="6">
      <formula>ISERROR(L15)</formula>
    </cfRule>
  </conditionalFormatting>
  <conditionalFormatting sqref="N25">
    <cfRule type="containsText" dxfId="60" priority="5" operator="containsText" text="0:00">
      <formula>NOT(ISERROR(SEARCH("0:00",N25)))</formula>
    </cfRule>
  </conditionalFormatting>
  <conditionalFormatting sqref="N26">
    <cfRule type="containsText" dxfId="59" priority="4" operator="containsText" text="0:00">
      <formula>NOT(ISERROR(SEARCH("0:00",N26)))</formula>
    </cfRule>
  </conditionalFormatting>
  <conditionalFormatting sqref="N27">
    <cfRule type="cellIs" dxfId="58" priority="3" operator="greaterThan">
      <formula>0</formula>
    </cfRule>
  </conditionalFormatting>
  <conditionalFormatting sqref="N27">
    <cfRule type="cellIs" dxfId="57" priority="2" operator="equal">
      <formula>0</formula>
    </cfRule>
  </conditionalFormatting>
  <conditionalFormatting sqref="N27">
    <cfRule type="containsText" dxfId="56" priority="1" operator="containsText" text="-">
      <formula>NOT(ISERROR(SEARCH("-",N27)))</formula>
    </cfRule>
  </conditionalFormatting>
  <conditionalFormatting sqref="N29">
    <cfRule type="cellIs" dxfId="55" priority="22" operator="greaterThan">
      <formula>$N$28</formula>
    </cfRule>
  </conditionalFormatting>
  <conditionalFormatting sqref="N29">
    <cfRule type="cellIs" dxfId="54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AC29-4CF3-4C9C-B411-CB00F2CF9B2C}">
  <dimension ref="A1:C8"/>
  <sheetViews>
    <sheetView workbookViewId="0">
      <selection activeCell="C7" sqref="C7"/>
    </sheetView>
  </sheetViews>
  <sheetFormatPr defaultRowHeight="15"/>
  <cols>
    <col min="1" max="1" width="18" customWidth="1"/>
    <col min="3" max="3" width="1.7109375" customWidth="1"/>
  </cols>
  <sheetData>
    <row r="1" spans="1:3">
      <c r="A1" s="384" t="s">
        <v>5</v>
      </c>
      <c r="B1" s="384"/>
      <c r="C1" s="2"/>
    </row>
    <row r="2" spans="1:3">
      <c r="A2" s="27" t="s">
        <v>1</v>
      </c>
      <c r="B2" s="83">
        <v>178</v>
      </c>
      <c r="C2" s="2">
        <v>48</v>
      </c>
    </row>
    <row r="3" spans="1:3">
      <c r="A3" s="28" t="s">
        <v>0</v>
      </c>
      <c r="B3" s="84">
        <v>74</v>
      </c>
      <c r="C3" s="2"/>
    </row>
    <row r="4" spans="1:3">
      <c r="A4" s="29" t="s">
        <v>2</v>
      </c>
      <c r="B4" s="84">
        <v>117</v>
      </c>
      <c r="C4" s="2"/>
    </row>
    <row r="5" spans="1:3">
      <c r="A5" s="30" t="s">
        <v>18</v>
      </c>
      <c r="B5" s="84">
        <v>438</v>
      </c>
      <c r="C5" s="2"/>
    </row>
    <row r="6" spans="1:3">
      <c r="A6" s="31" t="s">
        <v>19</v>
      </c>
      <c r="B6" s="84">
        <v>400</v>
      </c>
      <c r="C6" s="2">
        <v>384</v>
      </c>
    </row>
    <row r="7" spans="1:3">
      <c r="A7" s="32" t="s">
        <v>3</v>
      </c>
      <c r="B7" s="84">
        <v>30</v>
      </c>
      <c r="C7" s="2"/>
    </row>
    <row r="8" spans="1:3" ht="9" customHeight="1">
      <c r="A8" s="2"/>
      <c r="B8" s="2"/>
      <c r="C8" s="2"/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7879-6865-459B-8B83-D710699EBAF9}">
  <sheetPr>
    <tabColor rgb="FF00B0F0"/>
  </sheetPr>
  <dimension ref="A1:S43"/>
  <sheetViews>
    <sheetView showGridLines="0" showRowColHeaders="0" workbookViewId="0">
      <selection activeCell="U23" sqref="U23"/>
    </sheetView>
  </sheetViews>
  <sheetFormatPr defaultRowHeight="15"/>
  <cols>
    <col min="1" max="1" width="18.140625" style="245" customWidth="1"/>
    <col min="2" max="2" width="7" style="245" customWidth="1"/>
    <col min="3" max="3" width="8" style="245" customWidth="1"/>
    <col min="4" max="4" width="1.7109375" style="163" customWidth="1"/>
    <col min="5" max="5" width="18.42578125" style="245" customWidth="1"/>
    <col min="6" max="6" width="6.42578125" style="245" customWidth="1"/>
    <col min="7" max="7" width="8.140625" style="245" customWidth="1"/>
    <col min="8" max="8" width="1.7109375" style="163" customWidth="1"/>
    <col min="9" max="9" width="11.28515625" style="245" customWidth="1"/>
    <col min="10" max="10" width="16.5703125" style="245" customWidth="1"/>
    <col min="11" max="11" width="6.5703125" style="245" customWidth="1"/>
    <col min="12" max="12" width="8.140625" style="245" customWidth="1"/>
    <col min="13" max="13" width="1.7109375" style="163" customWidth="1"/>
    <col min="14" max="14" width="9.140625" style="245"/>
    <col min="15" max="15" width="18.5703125" style="245" customWidth="1"/>
    <col min="16" max="17" width="9.140625" style="245"/>
    <col min="18" max="18" width="9.140625" style="119"/>
    <col min="19" max="16384" width="9.140625" style="245"/>
  </cols>
  <sheetData>
    <row r="1" spans="1:19" ht="14.1" customHeight="1">
      <c r="A1"/>
      <c r="P1" s="246"/>
    </row>
    <row r="2" spans="1:19" ht="14.1" customHeight="1">
      <c r="A2" s="248" t="s">
        <v>113</v>
      </c>
      <c r="B2" s="440">
        <v>46322</v>
      </c>
      <c r="C2" s="441"/>
      <c r="D2" s="249"/>
      <c r="E2" s="442" t="s">
        <v>1</v>
      </c>
      <c r="F2" s="443"/>
      <c r="G2" s="444"/>
      <c r="H2" s="249"/>
      <c r="I2" s="442" t="s">
        <v>18</v>
      </c>
      <c r="J2" s="443"/>
      <c r="K2" s="443"/>
      <c r="L2" s="444"/>
      <c r="M2" s="249"/>
      <c r="N2" s="445" t="s">
        <v>114</v>
      </c>
      <c r="O2" s="446"/>
      <c r="P2" s="247"/>
      <c r="Q2" s="447" t="s">
        <v>115</v>
      </c>
      <c r="R2" s="448"/>
      <c r="S2" s="449"/>
    </row>
    <row r="3" spans="1:19" ht="14.1" customHeight="1">
      <c r="A3" s="249"/>
      <c r="B3" s="249"/>
      <c r="C3" s="249"/>
      <c r="D3" s="249"/>
      <c r="E3" s="250" t="s">
        <v>116</v>
      </c>
      <c r="F3" s="251" t="s">
        <v>117</v>
      </c>
      <c r="G3" s="252" t="s">
        <v>118</v>
      </c>
      <c r="H3" s="249"/>
      <c r="I3" s="253" t="s">
        <v>119</v>
      </c>
      <c r="J3" s="254" t="s">
        <v>116</v>
      </c>
      <c r="K3" s="254" t="s">
        <v>117</v>
      </c>
      <c r="L3" s="255" t="s">
        <v>118</v>
      </c>
      <c r="M3" s="249"/>
      <c r="N3" s="450" t="s">
        <v>120</v>
      </c>
      <c r="O3" s="451"/>
      <c r="P3" s="247"/>
      <c r="Q3" s="297" t="s">
        <v>121</v>
      </c>
      <c r="R3" s="298" t="s">
        <v>122</v>
      </c>
      <c r="S3" s="299" t="s">
        <v>123</v>
      </c>
    </row>
    <row r="4" spans="1:19" ht="14.1" customHeight="1">
      <c r="A4" s="452" t="s">
        <v>0</v>
      </c>
      <c r="B4" s="453"/>
      <c r="C4" s="454"/>
      <c r="D4" s="249"/>
      <c r="E4" s="256" t="s">
        <v>124</v>
      </c>
      <c r="F4" s="257">
        <v>0.25</v>
      </c>
      <c r="G4" s="258">
        <v>0.5</v>
      </c>
      <c r="H4" s="249"/>
      <c r="I4" s="259"/>
      <c r="J4" s="84" t="s">
        <v>125</v>
      </c>
      <c r="K4" s="260">
        <v>0.33333333333333331</v>
      </c>
      <c r="L4" s="261">
        <v>0.58333333333333337</v>
      </c>
      <c r="M4" s="249"/>
      <c r="N4" s="249"/>
      <c r="O4" s="249"/>
      <c r="P4" s="247"/>
      <c r="Q4" s="300">
        <v>806</v>
      </c>
      <c r="R4" s="304">
        <v>0.32291666666666669</v>
      </c>
      <c r="S4" s="301" t="s">
        <v>126</v>
      </c>
    </row>
    <row r="5" spans="1:19" ht="14.1" customHeight="1">
      <c r="A5" s="250" t="s">
        <v>116</v>
      </c>
      <c r="B5" s="251" t="s">
        <v>117</v>
      </c>
      <c r="C5" s="252" t="s">
        <v>118</v>
      </c>
      <c r="D5" s="249"/>
      <c r="E5" s="256" t="s">
        <v>127</v>
      </c>
      <c r="F5" s="260">
        <v>0.25</v>
      </c>
      <c r="G5" s="261">
        <v>0.5</v>
      </c>
      <c r="H5" s="249"/>
      <c r="I5" s="259"/>
      <c r="J5" s="84" t="s">
        <v>128</v>
      </c>
      <c r="K5" s="260">
        <v>0.33333333333333331</v>
      </c>
      <c r="L5" s="261">
        <v>0.58333333333333337</v>
      </c>
      <c r="M5" s="249"/>
      <c r="N5" s="445" t="s">
        <v>129</v>
      </c>
      <c r="O5" s="446"/>
      <c r="P5" s="247"/>
      <c r="Q5" s="302">
        <v>808</v>
      </c>
      <c r="R5" s="305">
        <v>0.32291666666666669</v>
      </c>
      <c r="S5" s="303" t="s">
        <v>130</v>
      </c>
    </row>
    <row r="6" spans="1:19" ht="14.1" customHeight="1">
      <c r="A6" s="256"/>
      <c r="B6" s="257"/>
      <c r="C6" s="258"/>
      <c r="D6" s="249"/>
      <c r="E6" s="256" t="s">
        <v>131</v>
      </c>
      <c r="F6" s="260">
        <v>0.25</v>
      </c>
      <c r="G6" s="261">
        <v>0.5</v>
      </c>
      <c r="H6" s="249"/>
      <c r="I6" s="259"/>
      <c r="J6" s="84" t="s">
        <v>132</v>
      </c>
      <c r="K6" s="260">
        <v>0.33333333333333331</v>
      </c>
      <c r="L6" s="261">
        <v>0.54166666666666663</v>
      </c>
      <c r="M6" s="249"/>
      <c r="N6" s="450" t="s">
        <v>133</v>
      </c>
      <c r="O6" s="451"/>
      <c r="P6" s="247"/>
      <c r="Q6" s="302">
        <v>807</v>
      </c>
      <c r="R6" s="305">
        <v>0.3298611111111111</v>
      </c>
      <c r="S6" s="303" t="s">
        <v>134</v>
      </c>
    </row>
    <row r="7" spans="1:19" ht="14.1" customHeight="1">
      <c r="A7" s="256" t="s">
        <v>135</v>
      </c>
      <c r="B7" s="260">
        <v>0.25</v>
      </c>
      <c r="C7" s="261">
        <v>0.54166666666666663</v>
      </c>
      <c r="D7" s="249"/>
      <c r="E7" s="256" t="s">
        <v>136</v>
      </c>
      <c r="F7" s="260">
        <v>0.25</v>
      </c>
      <c r="G7" s="261">
        <v>0.5</v>
      </c>
      <c r="H7" s="249"/>
      <c r="I7" s="250" t="s">
        <v>137</v>
      </c>
      <c r="J7" s="262"/>
      <c r="K7" s="262"/>
      <c r="L7" s="263"/>
      <c r="M7" s="249"/>
      <c r="N7" s="249"/>
      <c r="O7" s="249"/>
      <c r="P7" s="247"/>
      <c r="Q7" s="302">
        <v>801</v>
      </c>
      <c r="R7" s="305">
        <v>0.3576388888888889</v>
      </c>
      <c r="S7" s="303" t="s">
        <v>138</v>
      </c>
    </row>
    <row r="8" spans="1:19" ht="14.1" customHeight="1">
      <c r="A8" s="256" t="s">
        <v>139</v>
      </c>
      <c r="B8" s="260">
        <v>0.25</v>
      </c>
      <c r="C8" s="261">
        <v>0.5</v>
      </c>
      <c r="D8" s="249"/>
      <c r="E8" s="256" t="s">
        <v>140</v>
      </c>
      <c r="F8" s="260">
        <v>0.25</v>
      </c>
      <c r="G8" s="261">
        <v>0.5</v>
      </c>
      <c r="H8" s="249"/>
      <c r="I8" s="249"/>
      <c r="J8" s="249"/>
      <c r="K8" s="249"/>
      <c r="L8" s="249"/>
      <c r="M8" s="249"/>
      <c r="N8" s="452" t="s">
        <v>141</v>
      </c>
      <c r="O8" s="454"/>
      <c r="P8" s="247"/>
      <c r="Q8" s="302">
        <v>804</v>
      </c>
      <c r="R8" s="305">
        <v>0.37152777777777779</v>
      </c>
      <c r="S8" s="303" t="s">
        <v>142</v>
      </c>
    </row>
    <row r="9" spans="1:19" ht="14.1" customHeight="1">
      <c r="A9" s="256" t="s">
        <v>143</v>
      </c>
      <c r="B9" s="260">
        <v>0.25</v>
      </c>
      <c r="C9" s="261">
        <v>0.5</v>
      </c>
      <c r="D9" s="249"/>
      <c r="E9" s="256" t="s">
        <v>144</v>
      </c>
      <c r="F9" s="260">
        <v>0.25</v>
      </c>
      <c r="G9" s="261">
        <v>0.54166666666666663</v>
      </c>
      <c r="H9" s="249"/>
      <c r="I9" s="452" t="s">
        <v>19</v>
      </c>
      <c r="J9" s="453"/>
      <c r="K9" s="453"/>
      <c r="L9" s="454"/>
      <c r="M9" s="249"/>
      <c r="N9" s="455" t="s">
        <v>119</v>
      </c>
      <c r="O9" s="456"/>
      <c r="P9" s="247"/>
      <c r="Q9" s="302">
        <v>809</v>
      </c>
      <c r="R9" s="305">
        <v>0.37152777777777779</v>
      </c>
      <c r="S9" s="303" t="s">
        <v>145</v>
      </c>
    </row>
    <row r="10" spans="1:19" ht="14.1" customHeight="1">
      <c r="A10" s="256" t="s">
        <v>146</v>
      </c>
      <c r="B10" s="260">
        <v>0.25</v>
      </c>
      <c r="C10" s="261">
        <v>0.5</v>
      </c>
      <c r="D10" s="249"/>
      <c r="E10" s="256" t="s">
        <v>147</v>
      </c>
      <c r="F10" s="260">
        <v>0.25</v>
      </c>
      <c r="G10" s="261">
        <v>0.54166666666666663</v>
      </c>
      <c r="H10" s="249"/>
      <c r="I10" s="264" t="s">
        <v>119</v>
      </c>
      <c r="J10" s="265" t="s">
        <v>116</v>
      </c>
      <c r="K10" s="265" t="s">
        <v>117</v>
      </c>
      <c r="L10" s="266" t="s">
        <v>118</v>
      </c>
      <c r="M10" s="249"/>
      <c r="N10" s="457" t="s">
        <v>148</v>
      </c>
      <c r="O10" s="458"/>
      <c r="P10" s="247"/>
      <c r="Q10" s="302">
        <v>810</v>
      </c>
      <c r="R10" s="305">
        <v>0.37152777777777779</v>
      </c>
      <c r="S10" s="303" t="s">
        <v>149</v>
      </c>
    </row>
    <row r="11" spans="1:19" ht="14.1" customHeight="1">
      <c r="A11" s="256" t="s">
        <v>150</v>
      </c>
      <c r="B11" s="260">
        <v>0.25</v>
      </c>
      <c r="C11" s="261">
        <v>0.5</v>
      </c>
      <c r="D11" s="249"/>
      <c r="E11" s="256" t="s">
        <v>151</v>
      </c>
      <c r="F11" s="260">
        <v>0.25</v>
      </c>
      <c r="G11" s="261">
        <v>0.5</v>
      </c>
      <c r="H11" s="249"/>
      <c r="I11" s="259"/>
      <c r="J11" s="84" t="s">
        <v>152</v>
      </c>
      <c r="K11" s="260">
        <v>0.33333333333333331</v>
      </c>
      <c r="L11" s="261">
        <v>0.625</v>
      </c>
      <c r="M11" s="249"/>
      <c r="N11" s="459" t="s">
        <v>153</v>
      </c>
      <c r="O11" s="460"/>
      <c r="P11" s="247"/>
      <c r="Q11" s="302">
        <v>802</v>
      </c>
      <c r="R11" s="305">
        <v>0.38194444444444442</v>
      </c>
      <c r="S11" s="303" t="s">
        <v>154</v>
      </c>
    </row>
    <row r="12" spans="1:19" ht="14.1" customHeight="1">
      <c r="A12" s="256" t="s">
        <v>155</v>
      </c>
      <c r="B12" s="260">
        <v>0.25</v>
      </c>
      <c r="C12" s="261">
        <v>0.5</v>
      </c>
      <c r="D12" s="249"/>
      <c r="E12" s="256"/>
      <c r="F12" s="260"/>
      <c r="G12" s="261"/>
      <c r="H12" s="249"/>
      <c r="I12" s="259"/>
      <c r="J12" s="84" t="s">
        <v>156</v>
      </c>
      <c r="K12" s="260">
        <v>0.33333333333333331</v>
      </c>
      <c r="L12" s="261">
        <v>0.625</v>
      </c>
      <c r="M12" s="249"/>
      <c r="N12" s="461"/>
      <c r="O12" s="462"/>
      <c r="P12" s="247"/>
      <c r="Q12" s="302">
        <v>805</v>
      </c>
      <c r="R12" s="305">
        <v>0.38541666666666669</v>
      </c>
      <c r="S12" s="303" t="s">
        <v>157</v>
      </c>
    </row>
    <row r="13" spans="1:19" ht="14.1" customHeight="1">
      <c r="A13" s="256" t="s">
        <v>158</v>
      </c>
      <c r="B13" s="260">
        <v>0.25</v>
      </c>
      <c r="C13" s="261">
        <v>0.5</v>
      </c>
      <c r="D13" s="249"/>
      <c r="E13" s="256"/>
      <c r="F13" s="84"/>
      <c r="G13" s="267"/>
      <c r="H13" s="249"/>
      <c r="I13" s="250" t="s">
        <v>137</v>
      </c>
      <c r="J13" s="262"/>
      <c r="K13" s="262"/>
      <c r="L13" s="263"/>
      <c r="M13" s="249"/>
      <c r="N13" s="445" t="s">
        <v>159</v>
      </c>
      <c r="O13" s="446"/>
      <c r="P13" s="247"/>
      <c r="Q13" s="302">
        <v>803</v>
      </c>
      <c r="R13" s="305">
        <v>0.43055555555555558</v>
      </c>
      <c r="S13" s="303" t="s">
        <v>160</v>
      </c>
    </row>
    <row r="14" spans="1:19" ht="14.1" customHeight="1">
      <c r="A14" s="256" t="s">
        <v>161</v>
      </c>
      <c r="B14" s="260">
        <v>0.25</v>
      </c>
      <c r="C14" s="261">
        <v>0.5</v>
      </c>
      <c r="D14" s="249"/>
      <c r="E14" s="256"/>
      <c r="F14" s="84"/>
      <c r="G14" s="267"/>
      <c r="H14" s="249"/>
      <c r="I14" s="249"/>
      <c r="J14" s="249"/>
      <c r="K14" s="249"/>
      <c r="L14" s="249"/>
      <c r="M14" s="249"/>
      <c r="N14" s="457" t="s">
        <v>162</v>
      </c>
      <c r="O14" s="458"/>
      <c r="P14" s="247"/>
      <c r="Q14" s="295"/>
      <c r="R14" s="306"/>
      <c r="S14" s="296"/>
    </row>
    <row r="15" spans="1:19" ht="14.1" customHeight="1">
      <c r="A15" s="256"/>
      <c r="B15" s="260"/>
      <c r="C15" s="261"/>
      <c r="D15" s="249"/>
      <c r="E15" s="256"/>
      <c r="F15" s="84"/>
      <c r="G15" s="267"/>
      <c r="H15" s="249"/>
      <c r="I15" s="268" t="s">
        <v>163</v>
      </c>
      <c r="J15" s="269"/>
      <c r="K15" s="270" t="s">
        <v>117</v>
      </c>
      <c r="L15" s="271" t="s">
        <v>118</v>
      </c>
      <c r="M15" s="249"/>
      <c r="N15" s="459"/>
      <c r="O15" s="460"/>
      <c r="P15" s="247"/>
      <c r="Q15" s="295"/>
      <c r="R15" s="306"/>
      <c r="S15" s="296"/>
    </row>
    <row r="16" spans="1:19" ht="14.1" customHeight="1">
      <c r="A16" s="256"/>
      <c r="B16" s="260"/>
      <c r="C16" s="261"/>
      <c r="D16" s="249"/>
      <c r="E16" s="256"/>
      <c r="F16" s="84"/>
      <c r="G16" s="267"/>
      <c r="H16" s="249"/>
      <c r="I16" s="463" t="s">
        <v>133</v>
      </c>
      <c r="J16" s="464"/>
      <c r="K16" s="260">
        <v>0.25</v>
      </c>
      <c r="L16" s="272">
        <v>0.58333333333333337</v>
      </c>
      <c r="M16" s="249"/>
      <c r="N16" s="465"/>
      <c r="O16" s="466"/>
      <c r="P16" s="247"/>
      <c r="Q16" s="295">
        <v>821</v>
      </c>
      <c r="R16" s="306">
        <v>0.54166666666666663</v>
      </c>
      <c r="S16" s="296" t="s">
        <v>164</v>
      </c>
    </row>
    <row r="17" spans="1:19" ht="14.1" customHeight="1">
      <c r="A17" s="256"/>
      <c r="B17" s="260"/>
      <c r="C17" s="261"/>
      <c r="D17" s="249"/>
      <c r="E17" s="256"/>
      <c r="F17" s="84"/>
      <c r="G17" s="267"/>
      <c r="H17" s="249"/>
      <c r="I17" s="463" t="s">
        <v>165</v>
      </c>
      <c r="J17" s="464"/>
      <c r="K17" s="260">
        <v>0.25</v>
      </c>
      <c r="L17" s="272">
        <v>0.54166666666666663</v>
      </c>
      <c r="M17" s="249"/>
      <c r="N17" s="249"/>
      <c r="O17" s="249"/>
      <c r="P17" s="247"/>
      <c r="Q17" s="295">
        <v>844</v>
      </c>
      <c r="R17" s="306">
        <v>0.5625</v>
      </c>
      <c r="S17" s="296" t="s">
        <v>126</v>
      </c>
    </row>
    <row r="18" spans="1:19" ht="14.1" customHeight="1">
      <c r="A18" s="256"/>
      <c r="B18" s="84"/>
      <c r="C18" s="267"/>
      <c r="D18" s="249"/>
      <c r="E18" s="256"/>
      <c r="F18" s="84"/>
      <c r="G18" s="267"/>
      <c r="H18" s="249"/>
      <c r="I18" s="463" t="s">
        <v>166</v>
      </c>
      <c r="J18" s="464"/>
      <c r="K18" s="260">
        <v>0.29166666666666669</v>
      </c>
      <c r="L18" s="272">
        <v>0.58333333333333337</v>
      </c>
      <c r="M18" s="249"/>
      <c r="N18" s="445" t="s">
        <v>167</v>
      </c>
      <c r="O18" s="446"/>
      <c r="P18" s="247"/>
      <c r="Q18" s="295">
        <v>822</v>
      </c>
      <c r="R18" s="306">
        <v>0.57638888888888884</v>
      </c>
      <c r="S18" s="296" t="s">
        <v>168</v>
      </c>
    </row>
    <row r="19" spans="1:19" ht="14.1" customHeight="1">
      <c r="A19" s="256"/>
      <c r="B19" s="84"/>
      <c r="C19" s="267"/>
      <c r="D19" s="249"/>
      <c r="E19" s="256"/>
      <c r="F19" s="84"/>
      <c r="G19" s="267"/>
      <c r="H19" s="249"/>
      <c r="I19" s="463" t="s">
        <v>169</v>
      </c>
      <c r="J19" s="464"/>
      <c r="K19" s="260">
        <v>0.29166666666666669</v>
      </c>
      <c r="L19" s="272">
        <v>0.54166666666666663</v>
      </c>
      <c r="M19" s="249"/>
      <c r="N19" s="426" t="s">
        <v>158</v>
      </c>
      <c r="O19" s="427"/>
      <c r="P19" s="247"/>
      <c r="Q19" s="295">
        <v>831</v>
      </c>
      <c r="R19" s="306">
        <v>0.59027777777777779</v>
      </c>
      <c r="S19" s="296" t="s">
        <v>138</v>
      </c>
    </row>
    <row r="20" spans="1:19" ht="14.1" customHeight="1">
      <c r="A20" s="256"/>
      <c r="B20" s="84"/>
      <c r="C20" s="267"/>
      <c r="D20" s="249"/>
      <c r="E20" s="256"/>
      <c r="F20" s="273"/>
      <c r="G20" s="274"/>
      <c r="H20" s="249"/>
      <c r="I20" s="467" t="s">
        <v>170</v>
      </c>
      <c r="J20" s="468"/>
      <c r="K20" s="275">
        <v>0.33333333333333331</v>
      </c>
      <c r="L20" s="272">
        <v>0.58333333333333337</v>
      </c>
      <c r="M20" s="249"/>
      <c r="N20" s="428"/>
      <c r="O20" s="429"/>
      <c r="P20" s="247"/>
      <c r="Q20" s="295">
        <v>836</v>
      </c>
      <c r="R20" s="306">
        <v>0.59722222222222221</v>
      </c>
      <c r="S20" s="296" t="s">
        <v>134</v>
      </c>
    </row>
    <row r="21" spans="1:19" ht="14.1" customHeight="1">
      <c r="A21" s="256"/>
      <c r="B21" s="84"/>
      <c r="C21" s="267"/>
      <c r="D21" s="249"/>
      <c r="E21" s="248" t="s">
        <v>171</v>
      </c>
      <c r="F21" s="276" t="s">
        <v>117</v>
      </c>
      <c r="G21" s="277" t="s">
        <v>118</v>
      </c>
      <c r="H21" s="249"/>
      <c r="I21" s="432" t="s">
        <v>162</v>
      </c>
      <c r="J21" s="433"/>
      <c r="K21" s="278">
        <v>0.5</v>
      </c>
      <c r="L21" s="279">
        <v>0.79166666666666663</v>
      </c>
      <c r="M21" s="249"/>
      <c r="N21" s="249"/>
      <c r="O21" s="249"/>
      <c r="P21" s="247"/>
      <c r="Q21" s="295">
        <v>832</v>
      </c>
      <c r="R21" s="306">
        <v>0.60069444444444442</v>
      </c>
      <c r="S21" s="296" t="s">
        <v>130</v>
      </c>
    </row>
    <row r="22" spans="1:19" ht="14.1" customHeight="1">
      <c r="A22" s="256"/>
      <c r="B22" s="84"/>
      <c r="C22" s="267"/>
      <c r="D22" s="249"/>
      <c r="E22" s="256" t="s">
        <v>172</v>
      </c>
      <c r="F22" s="257">
        <v>0.29166666666666669</v>
      </c>
      <c r="G22" s="258">
        <v>0.58333333333333337</v>
      </c>
      <c r="H22" s="249"/>
      <c r="I22" s="432" t="s">
        <v>173</v>
      </c>
      <c r="J22" s="433"/>
      <c r="K22" s="278">
        <v>0.59375</v>
      </c>
      <c r="L22" s="279">
        <v>0.88541666666666663</v>
      </c>
      <c r="M22" s="249"/>
      <c r="N22" s="445" t="s">
        <v>174</v>
      </c>
      <c r="O22" s="446"/>
      <c r="P22" s="247"/>
      <c r="Q22" s="295">
        <v>843</v>
      </c>
      <c r="R22" s="306">
        <v>0.61111111111111116</v>
      </c>
      <c r="S22" s="296" t="s">
        <v>154</v>
      </c>
    </row>
    <row r="23" spans="1:19" ht="14.1" customHeight="1">
      <c r="A23" s="256"/>
      <c r="B23" s="84"/>
      <c r="C23" s="267"/>
      <c r="D23" s="249"/>
      <c r="E23" s="256"/>
      <c r="F23" s="260"/>
      <c r="G23" s="261"/>
      <c r="H23" s="249"/>
      <c r="I23" s="430"/>
      <c r="J23" s="431"/>
      <c r="K23" s="278"/>
      <c r="L23" s="279"/>
      <c r="M23" s="249"/>
      <c r="N23" s="426"/>
      <c r="O23" s="427"/>
      <c r="P23" s="247"/>
      <c r="Q23" s="295">
        <v>837</v>
      </c>
      <c r="R23" s="306">
        <v>0.61458333333333337</v>
      </c>
      <c r="S23" s="296" t="s">
        <v>149</v>
      </c>
    </row>
    <row r="24" spans="1:19" ht="14.1" customHeight="1">
      <c r="A24" s="256"/>
      <c r="B24" s="84"/>
      <c r="C24" s="267"/>
      <c r="D24" s="249"/>
      <c r="E24" s="256"/>
      <c r="F24" s="84"/>
      <c r="G24" s="267"/>
      <c r="H24" s="249"/>
      <c r="I24" s="469"/>
      <c r="J24" s="470"/>
      <c r="K24" s="280"/>
      <c r="L24" s="281"/>
      <c r="M24" s="249"/>
      <c r="N24" s="428"/>
      <c r="O24" s="429"/>
      <c r="P24" s="247"/>
      <c r="Q24" s="295">
        <v>838</v>
      </c>
      <c r="R24" s="306">
        <v>0.61458333333333337</v>
      </c>
      <c r="S24" s="296" t="s">
        <v>157</v>
      </c>
    </row>
    <row r="25" spans="1:19" ht="14.1" customHeight="1">
      <c r="A25" s="256"/>
      <c r="B25" s="84"/>
      <c r="C25" s="267"/>
      <c r="D25" s="249"/>
      <c r="E25" s="256"/>
      <c r="F25" s="84"/>
      <c r="G25" s="267"/>
      <c r="H25" s="249"/>
      <c r="I25" s="249"/>
      <c r="J25" s="249"/>
      <c r="K25" s="249"/>
      <c r="L25" s="249"/>
      <c r="M25" s="249"/>
      <c r="N25" s="282"/>
      <c r="O25" s="282"/>
      <c r="P25" s="247"/>
      <c r="Q25" s="295">
        <v>834</v>
      </c>
      <c r="R25" s="306">
        <v>0.61805555555555558</v>
      </c>
      <c r="S25" s="296" t="s">
        <v>175</v>
      </c>
    </row>
    <row r="26" spans="1:19" ht="14.1" customHeight="1">
      <c r="A26" s="256"/>
      <c r="B26" s="273"/>
      <c r="C26" s="274"/>
      <c r="D26" s="249"/>
      <c r="E26" s="256"/>
      <c r="F26" s="84"/>
      <c r="G26" s="267"/>
      <c r="H26" s="249"/>
      <c r="I26" s="452" t="s">
        <v>176</v>
      </c>
      <c r="J26" s="453"/>
      <c r="K26" s="453"/>
      <c r="L26" s="454"/>
      <c r="M26" s="249"/>
      <c r="N26" s="445" t="s">
        <v>177</v>
      </c>
      <c r="O26" s="446"/>
      <c r="P26" s="247"/>
      <c r="Q26" s="295">
        <v>833</v>
      </c>
      <c r="R26" s="306">
        <v>0.625</v>
      </c>
      <c r="S26" s="296" t="s">
        <v>142</v>
      </c>
    </row>
    <row r="27" spans="1:19" ht="14.1" customHeight="1">
      <c r="A27" s="248" t="s">
        <v>171</v>
      </c>
      <c r="B27" s="276" t="s">
        <v>117</v>
      </c>
      <c r="C27" s="277" t="s">
        <v>118</v>
      </c>
      <c r="D27" s="249"/>
      <c r="E27" s="256"/>
      <c r="F27" s="84"/>
      <c r="G27" s="267"/>
      <c r="H27" s="249"/>
      <c r="I27" s="455" t="s">
        <v>116</v>
      </c>
      <c r="J27" s="471"/>
      <c r="K27" s="251" t="s">
        <v>117</v>
      </c>
      <c r="L27" s="252" t="s">
        <v>118</v>
      </c>
      <c r="M27" s="249"/>
      <c r="N27" s="434"/>
      <c r="O27" s="435"/>
      <c r="P27" s="247"/>
      <c r="Q27" s="295">
        <v>839</v>
      </c>
      <c r="R27" s="306">
        <v>0.63194444444444442</v>
      </c>
      <c r="S27" s="296" t="s">
        <v>160</v>
      </c>
    </row>
    <row r="28" spans="1:19" ht="14.1" customHeight="1">
      <c r="A28" s="256" t="s">
        <v>178</v>
      </c>
      <c r="B28" s="257">
        <v>0.33333333333333331</v>
      </c>
      <c r="C28" s="258">
        <v>0.58333333333333337</v>
      </c>
      <c r="D28" s="249"/>
      <c r="E28" s="256"/>
      <c r="F28" s="84"/>
      <c r="G28" s="267"/>
      <c r="H28" s="249"/>
      <c r="I28" s="472" t="s">
        <v>179</v>
      </c>
      <c r="J28" s="473"/>
      <c r="K28" s="257">
        <v>0.22916666666666666</v>
      </c>
      <c r="L28" s="258">
        <v>0.5625</v>
      </c>
      <c r="M28" s="249"/>
      <c r="N28" s="436"/>
      <c r="O28" s="437"/>
      <c r="P28" s="247"/>
      <c r="Q28" s="295">
        <v>840</v>
      </c>
      <c r="R28" s="306">
        <v>0.63888888888888884</v>
      </c>
      <c r="S28" s="296" t="s">
        <v>145</v>
      </c>
    </row>
    <row r="29" spans="1:19" ht="14.1" customHeight="1">
      <c r="A29" s="256" t="s">
        <v>180</v>
      </c>
      <c r="B29" s="260">
        <v>0.33333333333333331</v>
      </c>
      <c r="C29" s="261">
        <v>0.58333333333333337</v>
      </c>
      <c r="D29" s="249"/>
      <c r="E29" s="283"/>
      <c r="F29" s="262"/>
      <c r="G29" s="263"/>
      <c r="H29" s="249"/>
      <c r="I29" s="459" t="s">
        <v>165</v>
      </c>
      <c r="J29" s="464"/>
      <c r="K29" s="260">
        <v>0.25</v>
      </c>
      <c r="L29" s="261">
        <v>0.54166666666666663</v>
      </c>
      <c r="M29" s="249"/>
      <c r="N29" s="436"/>
      <c r="O29" s="437"/>
      <c r="P29" s="247"/>
      <c r="Q29" s="295">
        <v>835</v>
      </c>
      <c r="R29" s="306">
        <v>0.65972222222222221</v>
      </c>
      <c r="S29" s="296" t="s">
        <v>181</v>
      </c>
    </row>
    <row r="30" spans="1:19" ht="14.1" customHeight="1">
      <c r="A30" s="256"/>
      <c r="B30" s="260"/>
      <c r="C30" s="261"/>
      <c r="D30" s="249"/>
      <c r="E30" s="249"/>
      <c r="F30" s="249"/>
      <c r="G30" s="249"/>
      <c r="H30" s="249"/>
      <c r="I30" s="459"/>
      <c r="J30" s="464"/>
      <c r="K30" s="260"/>
      <c r="L30" s="261"/>
      <c r="M30" s="249"/>
      <c r="N30" s="436"/>
      <c r="O30" s="437"/>
      <c r="P30" s="247"/>
      <c r="Q30" s="295"/>
      <c r="R30" s="307"/>
      <c r="S30" s="296"/>
    </row>
    <row r="31" spans="1:19" ht="14.1" customHeight="1">
      <c r="A31" s="256"/>
      <c r="B31" s="84"/>
      <c r="C31" s="267"/>
      <c r="D31" s="249"/>
      <c r="E31" s="248" t="s">
        <v>2</v>
      </c>
      <c r="F31" s="276" t="s">
        <v>117</v>
      </c>
      <c r="G31" s="277" t="s">
        <v>118</v>
      </c>
      <c r="H31" s="249"/>
      <c r="I31" s="474"/>
      <c r="J31" s="468"/>
      <c r="K31" s="273"/>
      <c r="L31" s="274"/>
      <c r="M31" s="249"/>
      <c r="N31" s="436"/>
      <c r="O31" s="437"/>
      <c r="P31" s="247"/>
      <c r="Q31" s="295"/>
      <c r="R31" s="307"/>
      <c r="S31" s="296"/>
    </row>
    <row r="32" spans="1:19" ht="14.1" customHeight="1">
      <c r="A32" s="256"/>
      <c r="B32" s="84"/>
      <c r="C32" s="267"/>
      <c r="D32" s="249"/>
      <c r="E32" s="256" t="s">
        <v>148</v>
      </c>
      <c r="F32" s="257">
        <v>0.25</v>
      </c>
      <c r="G32" s="258">
        <v>0.47916666666666669</v>
      </c>
      <c r="H32" s="249"/>
      <c r="I32" s="445" t="s">
        <v>182</v>
      </c>
      <c r="J32" s="475"/>
      <c r="K32" s="276" t="s">
        <v>117</v>
      </c>
      <c r="L32" s="277" t="s">
        <v>118</v>
      </c>
      <c r="M32" s="249"/>
      <c r="N32" s="436"/>
      <c r="O32" s="437"/>
      <c r="P32" s="247"/>
      <c r="Q32" s="295"/>
      <c r="R32" s="307"/>
      <c r="S32" s="296"/>
    </row>
    <row r="33" spans="1:19" ht="14.1" customHeight="1">
      <c r="A33" s="256"/>
      <c r="B33" s="84"/>
      <c r="C33" s="267"/>
      <c r="D33" s="249"/>
      <c r="E33" s="256" t="s">
        <v>183</v>
      </c>
      <c r="F33" s="260">
        <v>0.25</v>
      </c>
      <c r="G33" s="261">
        <v>0.54166666666666663</v>
      </c>
      <c r="H33" s="249"/>
      <c r="I33" s="472" t="s">
        <v>184</v>
      </c>
      <c r="J33" s="473"/>
      <c r="K33" s="257">
        <v>0.20833333333333334</v>
      </c>
      <c r="L33" s="258">
        <v>0.54166666666666663</v>
      </c>
      <c r="M33" s="249"/>
      <c r="N33" s="436"/>
      <c r="O33" s="437"/>
      <c r="P33" s="247"/>
      <c r="Q33" s="295"/>
      <c r="R33" s="307"/>
      <c r="S33" s="296"/>
    </row>
    <row r="34" spans="1:19" ht="14.1" customHeight="1">
      <c r="A34" s="256"/>
      <c r="B34" s="84"/>
      <c r="C34" s="267"/>
      <c r="D34" s="249"/>
      <c r="E34" s="256" t="s">
        <v>153</v>
      </c>
      <c r="F34" s="260">
        <v>0.25</v>
      </c>
      <c r="G34" s="261">
        <v>0.54166666666666663</v>
      </c>
      <c r="H34" s="249"/>
      <c r="I34" s="459" t="s">
        <v>185</v>
      </c>
      <c r="J34" s="464"/>
      <c r="K34" s="260">
        <v>0.22916666666666666</v>
      </c>
      <c r="L34" s="261">
        <v>0.52083333333333337</v>
      </c>
      <c r="M34" s="249"/>
      <c r="N34" s="436"/>
      <c r="O34" s="437"/>
      <c r="P34" s="247"/>
      <c r="Q34" s="295"/>
      <c r="R34" s="307"/>
      <c r="S34" s="296"/>
    </row>
    <row r="35" spans="1:19" ht="15.75" customHeight="1">
      <c r="A35" s="283"/>
      <c r="B35" s="262"/>
      <c r="C35" s="263"/>
      <c r="D35" s="249"/>
      <c r="E35" s="283"/>
      <c r="F35" s="262"/>
      <c r="G35" s="263"/>
      <c r="H35" s="249"/>
      <c r="I35" s="465" t="s">
        <v>186</v>
      </c>
      <c r="J35" s="476"/>
      <c r="K35" s="291">
        <v>0.25</v>
      </c>
      <c r="L35" s="292">
        <v>0.5</v>
      </c>
      <c r="M35" s="249"/>
      <c r="N35" s="438"/>
      <c r="O35" s="439"/>
      <c r="P35" s="247"/>
      <c r="Q35" s="293"/>
      <c r="R35" s="308"/>
      <c r="S35" s="294"/>
    </row>
    <row r="36" spans="1:19">
      <c r="A36" s="247"/>
      <c r="B36" s="247"/>
      <c r="C36" s="247"/>
      <c r="D36"/>
      <c r="E36" s="247"/>
      <c r="F36" s="247"/>
      <c r="G36" s="247"/>
      <c r="H36"/>
      <c r="I36" s="285"/>
      <c r="J36" s="285"/>
      <c r="K36" s="286"/>
      <c r="L36" s="286"/>
      <c r="M36"/>
      <c r="N36" s="284"/>
      <c r="O36" s="284"/>
      <c r="P36" s="247"/>
    </row>
    <row r="37" spans="1:19">
      <c r="A37" s="246"/>
      <c r="B37" s="246"/>
      <c r="C37" s="246"/>
      <c r="E37" s="246"/>
      <c r="F37" s="246"/>
      <c r="G37" s="246"/>
      <c r="I37" s="246"/>
      <c r="J37" s="246"/>
      <c r="K37" s="246"/>
      <c r="L37" s="246"/>
      <c r="N37" s="246"/>
      <c r="O37" s="246"/>
      <c r="P37" s="246"/>
    </row>
    <row r="38" spans="1:19">
      <c r="A38" s="246"/>
      <c r="B38" s="246"/>
      <c r="C38" s="246"/>
      <c r="E38" s="246"/>
      <c r="F38" s="246"/>
      <c r="G38" s="246"/>
      <c r="I38" s="246"/>
      <c r="J38" s="246"/>
      <c r="K38" s="246"/>
      <c r="L38" s="246"/>
      <c r="N38" s="246"/>
      <c r="O38" s="246"/>
      <c r="P38" s="246"/>
    </row>
    <row r="39" spans="1:19">
      <c r="A39" s="246"/>
      <c r="B39" s="246"/>
      <c r="C39" s="246"/>
      <c r="E39" s="246"/>
      <c r="F39" s="246"/>
      <c r="G39" s="246"/>
      <c r="I39" s="246"/>
      <c r="J39" s="246"/>
      <c r="K39" s="246"/>
      <c r="L39" s="246"/>
      <c r="N39" s="246"/>
      <c r="O39" s="246"/>
      <c r="P39" s="246"/>
    </row>
    <row r="40" spans="1:19">
      <c r="A40" s="246"/>
      <c r="B40" s="246"/>
      <c r="C40" s="246"/>
      <c r="E40" s="246"/>
      <c r="F40" s="246"/>
      <c r="G40" s="246"/>
      <c r="I40" s="246"/>
      <c r="J40" s="246"/>
      <c r="K40" s="246"/>
      <c r="L40" s="246"/>
      <c r="N40" s="246"/>
      <c r="O40" s="246"/>
      <c r="P40" s="246"/>
    </row>
    <row r="41" spans="1:19">
      <c r="A41" s="246"/>
      <c r="B41" s="246"/>
      <c r="C41" s="246"/>
      <c r="E41" s="246"/>
      <c r="F41" s="246"/>
      <c r="G41" s="246"/>
      <c r="I41" s="246"/>
      <c r="J41" s="246"/>
      <c r="K41" s="246"/>
      <c r="L41" s="246"/>
      <c r="N41" s="246"/>
      <c r="O41" s="246"/>
      <c r="P41" s="246"/>
    </row>
    <row r="42" spans="1:19">
      <c r="A42" s="246"/>
      <c r="B42" s="246"/>
      <c r="C42" s="246"/>
      <c r="E42" s="246"/>
      <c r="F42" s="246"/>
      <c r="G42" s="246"/>
      <c r="I42" s="246"/>
      <c r="J42" s="246"/>
      <c r="K42" s="246"/>
      <c r="N42" s="246"/>
      <c r="O42" s="246"/>
      <c r="P42" s="246"/>
    </row>
    <row r="43" spans="1:19">
      <c r="A43" s="246"/>
      <c r="B43" s="246"/>
      <c r="C43" s="246"/>
      <c r="E43" s="246"/>
      <c r="F43" s="246"/>
      <c r="G43" s="246"/>
      <c r="I43" s="246"/>
      <c r="J43" s="246"/>
      <c r="K43" s="246"/>
      <c r="L43" s="246"/>
      <c r="N43" s="246"/>
      <c r="O43" s="246"/>
      <c r="P43" s="246"/>
    </row>
  </sheetData>
  <mergeCells count="46">
    <mergeCell ref="Q2:S2"/>
    <mergeCell ref="E2:G2"/>
    <mergeCell ref="I19:J19"/>
    <mergeCell ref="I18:J18"/>
    <mergeCell ref="I17:J17"/>
    <mergeCell ref="I16:J16"/>
    <mergeCell ref="N27:O35"/>
    <mergeCell ref="N20:O20"/>
    <mergeCell ref="N19:O19"/>
    <mergeCell ref="N16:O16"/>
    <mergeCell ref="N15:O15"/>
    <mergeCell ref="N18:O18"/>
    <mergeCell ref="N22:O22"/>
    <mergeCell ref="N26:O26"/>
    <mergeCell ref="I20:J20"/>
    <mergeCell ref="N14:O14"/>
    <mergeCell ref="N12:O12"/>
    <mergeCell ref="N11:O11"/>
    <mergeCell ref="N3:O3"/>
    <mergeCell ref="N6:O6"/>
    <mergeCell ref="N9:O9"/>
    <mergeCell ref="N13:O13"/>
    <mergeCell ref="I9:L9"/>
    <mergeCell ref="I29:J29"/>
    <mergeCell ref="I24:J24"/>
    <mergeCell ref="I23:J23"/>
    <mergeCell ref="I22:J22"/>
    <mergeCell ref="I21:J21"/>
    <mergeCell ref="I26:L26"/>
    <mergeCell ref="I27:J27"/>
    <mergeCell ref="I34:J34"/>
    <mergeCell ref="I35:J35"/>
    <mergeCell ref="B2:C2"/>
    <mergeCell ref="N10:O10"/>
    <mergeCell ref="N23:O23"/>
    <mergeCell ref="N24:O24"/>
    <mergeCell ref="I33:J33"/>
    <mergeCell ref="A4:C4"/>
    <mergeCell ref="I2:L2"/>
    <mergeCell ref="N2:O2"/>
    <mergeCell ref="N5:O5"/>
    <mergeCell ref="N8:O8"/>
    <mergeCell ref="I32:J32"/>
    <mergeCell ref="I30:J30"/>
    <mergeCell ref="I28:J28"/>
    <mergeCell ref="I31:J31"/>
  </mergeCells>
  <conditionalFormatting sqref="B1:O1 A3:A4 A2:C2 I2 K15:L24 L14 A5:C35 K27:L32 N25:N27 N2:N9 N11:N22 N23:O24 N10:O10 I14:I32 I8:I9 I3:L7 I10:L13 I33:L35 E3:G29 E30 E31:G35 E2">
    <cfRule type="containsBlanks" dxfId="53" priority="18">
      <formula>LEN(TRIM(A1))=0</formula>
    </cfRule>
  </conditionalFormatting>
  <conditionalFormatting sqref="A6:C35">
    <cfRule type="expression" dxfId="52" priority="23">
      <formula>AND(ISNUMBER($C6),OR(HOUR($C6)&gt;14,$C6&gt;14))</formula>
    </cfRule>
  </conditionalFormatting>
  <conditionalFormatting sqref="A28:C29">
    <cfRule type="expression" dxfId="51" priority="24">
      <formula>AND(ISNUMBER($C28),OR(HOUR($C28)=11,$C28=11))</formula>
    </cfRule>
    <cfRule type="expression" dxfId="50" priority="25">
      <formula>AND(ISNUMBER($C28),OR(HOUR($C28)=12,$C28=12))</formula>
    </cfRule>
    <cfRule type="expression" dxfId="49" priority="26">
      <formula>AND(ISNUMBER($C28),OR(HOUR($C28)=13,$C28=13))</formula>
    </cfRule>
    <cfRule type="expression" dxfId="48" priority="27">
      <formula>AND(ISNUMBER($C28),OR(HOUR($C28)=14,$C28=14))</formula>
    </cfRule>
    <cfRule type="expression" dxfId="47" priority="28">
      <formula>AND(ISNUMBER($C28),OR(HOUR($C28)=15,$C28=15))</formula>
    </cfRule>
  </conditionalFormatting>
  <conditionalFormatting sqref="E4:G35">
    <cfRule type="expression" dxfId="46" priority="33">
      <formula>AND(ISNUMBER($G4),OR(HOUR($G4)=14,$G4&gt;14))</formula>
    </cfRule>
  </conditionalFormatting>
  <conditionalFormatting sqref="E22:G23">
    <cfRule type="expression" dxfId="45" priority="34">
      <formula>AND(ISNUMBER($G22),OR(HOUR($G22)=11,$G22=11))</formula>
    </cfRule>
    <cfRule type="expression" dxfId="44" priority="35">
      <formula>AND(ISNUMBER($G22),OR(HOUR($G22)=12,$G22=12))</formula>
    </cfRule>
    <cfRule type="expression" dxfId="43" priority="36">
      <formula>AND(ISNUMBER($G22),OR(HOUR($G22)=13,$G22=13))</formula>
    </cfRule>
    <cfRule type="expression" dxfId="42" priority="37">
      <formula>AND(ISNUMBER($G22),OR(HOUR($G22)=14,$G22=14))</formula>
    </cfRule>
    <cfRule type="expression" dxfId="41" priority="38">
      <formula>AND(ISNUMBER($G22),OR(HOUR($G22)=15,$G22=15))</formula>
    </cfRule>
  </conditionalFormatting>
  <conditionalFormatting sqref="E32:G34">
    <cfRule type="expression" dxfId="40" priority="39">
      <formula>AND(ISNUMBER($G32),OR(HOUR($G32)=11,$G32=11))</formula>
    </cfRule>
    <cfRule type="expression" dxfId="39" priority="40">
      <formula>AND(ISNUMBER($G32),OR(HOUR($G32)=12,$G32=12))</formula>
    </cfRule>
    <cfRule type="expression" dxfId="38" priority="41">
      <formula>AND(ISNUMBER($G32),OR(HOUR($G32)=13,$G32=13))</formula>
    </cfRule>
    <cfRule type="expression" dxfId="37" priority="42">
      <formula>AND(ISNUMBER($G32),OR(HOUR($G32)=14,$G32=14))</formula>
    </cfRule>
    <cfRule type="expression" dxfId="36" priority="43">
      <formula>AND(ISNUMBER($G32),OR(HOUR($G32)=15,$G32=15))</formula>
    </cfRule>
  </conditionalFormatting>
  <conditionalFormatting sqref="J4:L13">
    <cfRule type="expression" dxfId="35" priority="48">
      <formula>AND(ISNUMBER($L4),OR(HOUR($L4)&gt;14,$L4&gt;14))</formula>
    </cfRule>
  </conditionalFormatting>
  <conditionalFormatting sqref="J11:L12">
    <cfRule type="expression" dxfId="34" priority="49">
      <formula>AND(ISNUMBER($L11),OR(HOUR($L11)=11,$L11=11))</formula>
    </cfRule>
    <cfRule type="expression" dxfId="33" priority="50">
      <formula>AND(ISNUMBER($L11),OR(HOUR($L11)=12,$L11=12))</formula>
    </cfRule>
    <cfRule type="expression" dxfId="32" priority="51">
      <formula>AND(ISNUMBER($L11),OR(HOUR($L11)=13,$L11=13))</formula>
    </cfRule>
    <cfRule type="expression" dxfId="31" priority="52">
      <formula>AND(ISNUMBER($L11),OR(HOUR($L11)=14,$L11=14))</formula>
    </cfRule>
    <cfRule type="expression" dxfId="30" priority="53">
      <formula>AND(ISNUMBER($L11),OR(HOUR($L11)=15,$L11=15))</formula>
    </cfRule>
  </conditionalFormatting>
  <conditionalFormatting sqref="X19">
    <cfRule type="expression" dxfId="29" priority="58">
      <formula>AND(ISNUMBER($L19),OR(HOUR($L19)=15,$L19=15))</formula>
    </cfRule>
  </conditionalFormatting>
  <conditionalFormatting sqref="I28:I29 K28:L29">
    <cfRule type="expression" dxfId="28" priority="59">
      <formula>AND(ISNUMBER($L28),OR(HOUR($L28)=11,$L28=11))</formula>
    </cfRule>
    <cfRule type="expression" dxfId="27" priority="62">
      <formula>AND(ISNUMBER($L28),OR(HOUR($L28)=14,$L28=14))</formula>
    </cfRule>
    <cfRule type="expression" dxfId="26" priority="63">
      <formula>AND(ISNUMBER($L28),OR(HOUR($L28)=15,$L28=15))</formula>
    </cfRule>
  </conditionalFormatting>
  <conditionalFormatting sqref="A6:C35">
    <cfRule type="expression" dxfId="25" priority="20">
      <formula>AND(ISNUMBER($C6),OR(HOUR($C6)=12,$C6=12))</formula>
    </cfRule>
  </conditionalFormatting>
  <conditionalFormatting sqref="A6:C35">
    <cfRule type="expression" dxfId="24" priority="21">
      <formula>AND(ISNUMBER($C6),OR(HOUR($C6)=13,$C6=13))</formula>
    </cfRule>
  </conditionalFormatting>
  <conditionalFormatting sqref="A6:C35">
    <cfRule type="expression" dxfId="23" priority="19">
      <formula>AND(ISNUMBER($C6),OR(HOUR($C6)=11,$C6=11))</formula>
    </cfRule>
  </conditionalFormatting>
  <conditionalFormatting sqref="A6:C35">
    <cfRule type="expression" dxfId="22" priority="22">
      <formula>AND(ISNUMBER($C6),OR(HOUR($C6)=14,$C6=14))</formula>
    </cfRule>
  </conditionalFormatting>
  <conditionalFormatting sqref="E4:G35">
    <cfRule type="expression" dxfId="21" priority="29">
      <formula>AND(ISNUMBER($G4),OR(HOUR($G4)=11,$G4=11))</formula>
    </cfRule>
  </conditionalFormatting>
  <conditionalFormatting sqref="E4:G35">
    <cfRule type="expression" dxfId="20" priority="30">
      <formula>AND(ISNUMBER($G4),OR(HOUR($G4)=12,$G4=12))</formula>
    </cfRule>
  </conditionalFormatting>
  <conditionalFormatting sqref="E4:G35">
    <cfRule type="expression" dxfId="19" priority="31">
      <formula>AND(ISNUMBER($G4),OR(HOUR($G4)=13,$G4=13))</formula>
    </cfRule>
  </conditionalFormatting>
  <conditionalFormatting sqref="E4:G35">
    <cfRule type="expression" dxfId="18" priority="32">
      <formula>AND(ISNUMBER($G4),OR(HOUR($G4)=14,$G4=14))</formula>
    </cfRule>
  </conditionalFormatting>
  <conditionalFormatting sqref="J4:L13">
    <cfRule type="expression" dxfId="17" priority="44">
      <formula>AND(ISNUMBER($L4),OR(HOUR($L4)=11,$L4=11))</formula>
    </cfRule>
  </conditionalFormatting>
  <conditionalFormatting sqref="J4:L13">
    <cfRule type="expression" dxfId="16" priority="45">
      <formula>AND(ISNUMBER($L4),OR(HOUR($L4)=12,$L4=12))</formula>
    </cfRule>
  </conditionalFormatting>
  <conditionalFormatting sqref="J4:L13">
    <cfRule type="expression" dxfId="15" priority="46">
      <formula>AND(ISNUMBER($L4),OR(HOUR($L4)=13,$L4=13))</formula>
    </cfRule>
  </conditionalFormatting>
  <conditionalFormatting sqref="J4:L13">
    <cfRule type="expression" dxfId="14" priority="47">
      <formula>AND(ISNUMBER($L4),OR(HOUR($L4)=14,$L4=14))</formula>
    </cfRule>
  </conditionalFormatting>
  <conditionalFormatting sqref="K16:L39">
    <cfRule type="expression" dxfId="13" priority="54">
      <formula>AND(ISNUMBER($L16),OR(HOUR($L16)=11,$L16=11))</formula>
    </cfRule>
  </conditionalFormatting>
  <conditionalFormatting sqref="K16:L39">
    <cfRule type="expression" dxfId="12" priority="56">
      <formula>AND(ISNUMBER($L16),OR(HOUR($L16)=13,$L16=13))</formula>
    </cfRule>
  </conditionalFormatting>
  <conditionalFormatting sqref="K16:L39">
    <cfRule type="expression" dxfId="11" priority="55">
      <formula>AND(ISNUMBER($L16),OR(HOUR($L16)=12,$L16=12))</formula>
    </cfRule>
  </conditionalFormatting>
  <conditionalFormatting sqref="K16:L39">
    <cfRule type="expression" dxfId="10" priority="57">
      <formula>AND(ISNUMBER($L16),OR(HOUR($L16)=14,$L16=14))</formula>
    </cfRule>
  </conditionalFormatting>
  <conditionalFormatting sqref="K16:L39">
    <cfRule type="expression" dxfId="9" priority="14">
      <formula>AND(ISNUMBER($L16),OR(HOUR($L16)&gt;14,$L16&gt;14))</formula>
    </cfRule>
  </conditionalFormatting>
  <conditionalFormatting sqref="Q4:Q35 S4:S35">
    <cfRule type="expression" dxfId="8" priority="1">
      <formula>AND(ISNUMBER($R4),OR(HOUR($R4)&gt;=15,$R4&gt;=15))</formula>
    </cfRule>
  </conditionalFormatting>
  <conditionalFormatting sqref="Q4:Q35 S4:S35">
    <cfRule type="expression" dxfId="7" priority="8">
      <formula>AND(ISNUMBER($R4),OR(HOUR($R4)=7,$R4=7))</formula>
    </cfRule>
  </conditionalFormatting>
  <conditionalFormatting sqref="Q4:Q35 S4:S35">
    <cfRule type="expression" dxfId="6" priority="9">
      <formula>AND(ISNUMBER($R4),OR(HOUR($R4)=8,$R4=8))</formula>
    </cfRule>
  </conditionalFormatting>
  <conditionalFormatting sqref="Q4:Q35 S4:S35">
    <cfRule type="expression" dxfId="5" priority="11">
      <formula>AND(ISNUMBER($R4),OR(HOUR($R4)=11,$R4=11))</formula>
    </cfRule>
  </conditionalFormatting>
  <conditionalFormatting sqref="Q4:Q35 S4:S35">
    <cfRule type="expression" dxfId="4" priority="5">
      <formula>AND(ISNUMBER($R4),OR(HOUR($R4)=13,$R4=13))</formula>
    </cfRule>
  </conditionalFormatting>
  <conditionalFormatting sqref="Q4:Q35 S4:S35">
    <cfRule type="expression" dxfId="3" priority="4">
      <formula>AND(ISNUMBER($R4),OR(HOUR($R4)=9,$R4=9))</formula>
    </cfRule>
  </conditionalFormatting>
  <conditionalFormatting sqref="Q4:Q35 S4:S35">
    <cfRule type="expression" dxfId="2" priority="3">
      <formula>AND(ISNUMBER($R4),OR(HOUR($R4)=10,$R4=10))</formula>
    </cfRule>
  </conditionalFormatting>
  <conditionalFormatting sqref="Q4:Q35 S4:S35">
    <cfRule type="expression" dxfId="1" priority="2">
      <formula>AND(ISNUMBER($R4),OR(HOUR($R4)=14,$R4=14))</formula>
    </cfRule>
  </conditionalFormatting>
  <pageMargins left="0.25" right="0.25" top="0.75" bottom="0.75" header="0.3" footer="0.3"/>
  <pageSetup paperSize="9" orientation="landscape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31E934ED-DE9E-4B2B-8377-7C26F4A73995}">
            <xm:f>NOT(ISERROR(SEARCH($L$28=13,I28)))</xm:f>
            <xm:f>$L$28=13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I28 K28:L28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YV3TFWO3UPC25S2ZLRDKNL2FAMX67UP7:ms-officescript%3A%2F%2Fonedrive_business_sharinglink%2Fu!aHR0cHM6Ly9rZXNrb2dyb3VwLW15LnNoYXJlcG9pbnQuY29tLzp1Oi9nL3BlcnNvbmFsL2plc3NlX2FncmVuX2NpdHltYXJrZXRfZmkvSVFEYm84V3V5MWxjUnFhdlJRTXY3OUhfQVEzTGNtWTBjd3NQazFFVEI2X20zTkk"/>
</scriptIds>
</file>

<file path=customXml/itemProps1.xml><?xml version="1.0" encoding="utf-8"?>
<ds:datastoreItem xmlns:ds="http://schemas.openxmlformats.org/officeDocument/2006/customXml" ds:itemID="{7B7DF4A8-8AF2-45FD-A04B-A0D22C8C4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Ågrén Jesse</dc:creator>
  <cp:keywords/>
  <dc:description/>
  <cp:lastModifiedBy/>
  <cp:revision/>
  <dcterms:created xsi:type="dcterms:W3CDTF">2026-09-03T06:46:59Z</dcterms:created>
  <dcterms:modified xsi:type="dcterms:W3CDTF">2026-10-27T08:02:52Z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14aa28-8067-4004-849a-93ab903c078e_Enabled">
    <vt:lpwstr>true</vt:lpwstr>
  </property>
  <property fmtid="{D5CDD505-2E9C-101B-9397-08002B2CF9AE}" pid="3" name="MSIP_Label_f914aa28-8067-4004-849a-93ab903c078e_SetDate">
    <vt:lpwstr>2026-09-11T03:33:17Z</vt:lpwstr>
  </property>
  <property fmtid="{D5CDD505-2E9C-101B-9397-08002B2CF9AE}" pid="4" name="MSIP_Label_f914aa28-8067-4004-849a-93ab903c078e_Method">
    <vt:lpwstr>Standard</vt:lpwstr>
  </property>
  <property fmtid="{D5CDD505-2E9C-101B-9397-08002B2CF9AE}" pid="5" name="MSIP_Label_f914aa28-8067-4004-849a-93ab903c078e_Name">
    <vt:lpwstr>f914aa28-8067-4004-849a-93ab903c078e</vt:lpwstr>
  </property>
  <property fmtid="{D5CDD505-2E9C-101B-9397-08002B2CF9AE}" pid="6" name="MSIP_Label_f914aa28-8067-4004-849a-93ab903c078e_SiteId">
    <vt:lpwstr>ae6e7baa-e1bf-4ef0-92a1-4eb28ec805c0</vt:lpwstr>
  </property>
  <property fmtid="{D5CDD505-2E9C-101B-9397-08002B2CF9AE}" pid="7" name="MSIP_Label_f914aa28-8067-4004-849a-93ab903c078e_ActionId">
    <vt:lpwstr>1ba564c4-3516-4aad-b5a7-ae1dedd20176</vt:lpwstr>
  </property>
  <property fmtid="{D5CDD505-2E9C-101B-9397-08002B2CF9AE}" pid="8" name="MSIP_Label_f914aa28-8067-4004-849a-93ab903c078e_ContentBits">
    <vt:lpwstr>0</vt:lpwstr>
  </property>
  <property fmtid="{D5CDD505-2E9C-101B-9397-08002B2CF9AE}" pid="9" name="MSIP_Label_f914aa28-8067-4004-849a-93ab903c078e_Tag">
    <vt:lpwstr>10, 3, 0, 2</vt:lpwstr>
  </property>
</Properties>
</file>